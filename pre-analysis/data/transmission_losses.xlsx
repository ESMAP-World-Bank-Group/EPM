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1_Simplifie" sheetId="3" state="visible" r:id="rId3"/>
    <sheet xmlns:r="http://schemas.openxmlformats.org/officeDocument/2006/relationships" name="2_Calcule" sheetId="4" state="visible" r:id="rId4"/>
    <sheet xmlns:r="http://schemas.openxmlformats.org/officeDocument/2006/relationships" name="3_Comparaison" sheetId="5" state="visible" r:id="rId5"/>
    <sheet xmlns:r="http://schemas.openxmlformats.org/officeDocument/2006/relationships" name="4_Corridors_EPM" sheetId="6" state="visible" r:id="rId6"/>
  </sheets>
  <definedNames>
    <definedName name="_xlnm._FilterDatabase" localSheetId="2" hidden="1">'1_Simplifie'!$A$4:$K$57</definedName>
    <definedName name="_xlnm._FilterDatabase" localSheetId="3" hidden="1">'2_Calcule'!$A$4:$M$57</definedName>
    <definedName name="_xlnm._FilterDatabase" localSheetId="4" hidden="1">'3_Comparaison'!$A$4:$I$57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+0.0;-0.0"/>
    <numFmt numFmtId="167" formatCode="0.00000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sz val="10"/>
    </font>
    <font>
      <b val="1"/>
      <color rgb="001F3864"/>
      <sz val="11"/>
    </font>
    <font>
      <b val="1"/>
      <color rgb="00FFFFFF"/>
      <sz val="10"/>
    </font>
    <font>
      <b val="1"/>
    </font>
    <font>
      <b val="1"/>
      <color rgb="00C00000"/>
    </font>
    <font>
      <i val="1"/>
      <color rgb="00C00000"/>
      <sz val="9"/>
    </font>
    <font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6" fillId="3" borderId="1" pivotButton="0" quotePrefix="0" xfId="0"/>
    <xf numFmtId="165" fontId="0" fillId="3" borderId="1" pivotButton="0" quotePrefix="0" xfId="0"/>
    <xf numFmtId="0" fontId="7" fillId="0" borderId="0" pivotButton="0" quotePrefix="0" xfId="0"/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6" fillId="3" borderId="1" pivotButton="0" quotePrefix="0" xfId="0"/>
    <xf numFmtId="166" fontId="0" fillId="0" borderId="1" pivotButton="0" quotePrefix="0" xfId="0"/>
    <xf numFmtId="166" fontId="6" fillId="4" borderId="1" pivotButton="0" quotePrefix="0" xfId="0"/>
    <xf numFmtId="0" fontId="8" fillId="0" borderId="0" pivotButton="0" quotePrefix="0" xfId="0"/>
    <xf numFmtId="167" fontId="0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Pertes de transport - lignes du perimetre Mer Noire</t>
        </is>
      </c>
    </row>
    <row r="2">
      <c r="B2" s="2" t="inlineStr">
        <is>
          <t>Genere le 2026-08-19 - source des lignes : pre-analysis/data/reference_lines.csv</t>
        </is>
      </c>
    </row>
    <row r="3">
      <c r="B3" s="3" t="inlineStr"/>
    </row>
    <row r="4">
      <c r="B4" s="4" t="inlineStr">
        <is>
          <t>A quoi sert ce classeur</t>
        </is>
      </c>
    </row>
    <row r="5">
      <c r="B5" s="3" t="inlineStr">
        <is>
          <t>Les pertes actuellement utilisees dans le modele (colonne loss_pu de reference_lines.csv) ne prennent</t>
        </is>
      </c>
    </row>
    <row r="6">
      <c r="B6" s="3" t="inlineStr">
        <is>
          <t>que deux valeurs, 0.02 et 0.03, sans lien avec la longueur ni la technologie. Elles ont ete saisies a la</t>
        </is>
      </c>
    </row>
    <row r="7">
      <c r="B7" s="3" t="inlineStr">
        <is>
          <t>main dans le classeur v8 ; aucune n'est adossee a une etude de faisabilite. Ce classeur propose deux</t>
        </is>
      </c>
    </row>
    <row r="8">
      <c r="B8" s="3" t="inlineStr">
        <is>
          <t>facons de les remplacer, l'une simple et l'autre calculee, et les compare a l'existant.</t>
        </is>
      </c>
    </row>
    <row r="9">
      <c r="B9" s="3" t="inlineStr"/>
    </row>
    <row r="10">
      <c r="B10" s="4" t="inlineStr">
        <is>
          <t>Les onglets</t>
        </is>
      </c>
    </row>
    <row r="11">
      <c r="B11" s="3" t="inlineStr">
        <is>
          <t>Parametres        toutes les hypotheses chiffrees, avec leur source. Seul onglet a modifier.</t>
        </is>
      </c>
    </row>
    <row r="12">
      <c r="B12" s="3" t="inlineStr">
        <is>
          <t>1_Simplifie       4 categories, 4 valeurs. RECOMMANDE pour alimenter le modele.</t>
        </is>
      </c>
    </row>
    <row r="13">
      <c r="B13" s="3" t="inlineStr">
        <is>
          <t>2_Calcule         formule tension x longueur + termes fixes. Justifie les 4 valeurs ci-dessus.</t>
        </is>
      </c>
    </row>
    <row r="14">
      <c r="B14" s="3" t="inlineStr">
        <is>
          <t>3_Comparaison     actuel / simplifie / calcule, avec les ecarts en points.</t>
        </is>
      </c>
    </row>
    <row r="15">
      <c r="B15" s="3" t="inlineStr">
        <is>
          <t>4_Corridors_EPM   agregation en corridors. C'est ce qui alimente pLossFactorInternal.csv.</t>
        </is>
      </c>
    </row>
    <row r="16">
      <c r="B16" s="3" t="inlineStr"/>
    </row>
    <row r="17">
      <c r="B17" s="4" t="inlineStr">
        <is>
          <t>La formule (onglet 2_Calcule)</t>
        </is>
      </c>
    </row>
    <row r="18">
      <c r="B18" s="3" t="inlineStr">
        <is>
          <t xml:space="preserve">     AC           (taux_lineique[tension] x longueur / 100)  +  0.006</t>
        </is>
      </c>
    </row>
    <row r="19">
      <c r="B19" s="3" t="inlineStr">
        <is>
          <t xml:space="preserve">     HVDC B2B     (taux_lineique[tension] x longueur / 100)  +  0.006  +  0.014</t>
        </is>
      </c>
    </row>
    <row r="20">
      <c r="B20" s="3" t="inlineStr">
        <is>
          <t xml:space="preserve">     HVDC ligne   0.015  +  0.040 x longueur / 1000</t>
        </is>
      </c>
    </row>
    <row r="21">
      <c r="B21" s="3" t="inlineStr"/>
    </row>
    <row r="22">
      <c r="B22" s="3" t="inlineStr">
        <is>
          <t>0.006 = transformation, 0.3 % par extremite.   0.014 = paire de convertisseurs LCC (back-to-back).</t>
        </is>
      </c>
    </row>
    <row r="23">
      <c r="B23" s="3" t="inlineStr">
        <is>
          <t>0.015 = paire de convertisseurs VSC.           0.040 = conduction cable DC +-525 kV, par 1000 km.</t>
        </is>
      </c>
    </row>
    <row r="24">
      <c r="B24" s="3" t="inlineStr"/>
    </row>
    <row r="25">
      <c r="B25" s="4" t="inlineStr">
        <is>
          <t>Pourquoi le HVDC n'a pas l'air meilleur que l'AC</t>
        </is>
      </c>
    </row>
    <row r="26">
      <c r="B26" s="3" t="inlineStr">
        <is>
          <t>Par kilometre il l'est : 0.40 %/100 km pour le cable +-525 kV contre 0.45 a 0.60 %/100 km en AC.</t>
        </is>
      </c>
    </row>
    <row r="27">
      <c r="B27" s="3" t="inlineStr">
        <is>
          <t>Mais il paie un ticket d'entree fixe d'environ 1.5 % (les convertisseurs), independant de la longueur.</t>
        </is>
      </c>
    </row>
    <row r="28">
      <c r="B28" s="3" t="inlineStr">
        <is>
          <t>Le croisement se situe vers 450 km face a du 400 kV, bien plus loin face a du 500 kV.</t>
        </is>
      </c>
    </row>
    <row r="29">
      <c r="B29" s="3" t="inlineStr">
        <is>
          <t>Le seuil de 600-800 km souvent cite est un seuil de COUT, pas de pertes.</t>
        </is>
      </c>
    </row>
    <row r="30">
      <c r="B30" s="3" t="inlineStr">
        <is>
          <t>Et pour nos deux cas HVDC il n'existe de toute facon aucune alternative AC : BSTN relie deux reseaux</t>
        </is>
      </c>
    </row>
    <row r="31">
      <c r="B31" s="3" t="inlineStr">
        <is>
          <t>ASYNCHRONES (ENTSO-E / IPS-UPS), BSSC et GECO sont sous-marins sur 1175 km, ou l'AC meurt vers 100 km.</t>
        </is>
      </c>
    </row>
    <row r="32">
      <c r="B32" s="3" t="inlineStr">
        <is>
          <t>Les 6 % de BSSC sont un effet de LONGUEUR, pas une penalite de technologie.</t>
        </is>
      </c>
    </row>
    <row r="33">
      <c r="B33" s="3" t="inlineStr"/>
    </row>
    <row r="34">
      <c r="B34" s="4" t="inlineStr">
        <is>
          <t>Trois limites a garder en tete</t>
        </is>
      </c>
    </row>
    <row r="35">
      <c r="B35" s="3" t="inlineStr">
        <is>
          <t>1. Ces valeurs sont des pertes A CHARGE NOMINALE. Les pertes reelles sont quadratiques en flux : une</t>
        </is>
      </c>
    </row>
    <row r="36">
      <c r="B36" s="3" t="inlineStr">
        <is>
          <t xml:space="preserve">   ligne a 50 % de charge perd environ 25 % de ce chiffre. EPM applique un coefficient LINEAIRE fixe,</t>
        </is>
      </c>
    </row>
    <row r="37">
      <c r="B37" s="3" t="inlineStr">
        <is>
          <t xml:space="preserve">   donc ces valeurs sont conservatrices. C'est aussi pourquoi raffiner au dixieme de point est illusoire.</t>
        </is>
      </c>
    </row>
    <row r="38">
      <c r="B38" s="3" t="inlineStr">
        <is>
          <t>2. Pas de correction pour le nombre de circuits : a charge nominale, doubler les circuits double aussi</t>
        </is>
      </c>
    </row>
    <row r="39">
      <c r="B39" s="3" t="inlineStr">
        <is>
          <t xml:space="preserve">   la capacite, les pertes en p.u. sont inchangees.</t>
        </is>
      </c>
    </row>
    <row r="40">
      <c r="B40" s="3" t="inlineStr">
        <is>
          <t>3. Les longueurs marquees 'estime' ne figurent pas dans reference_lines.csv - a confirmer.</t>
        </is>
      </c>
    </row>
    <row r="41">
      <c r="B41" s="3" t="inlineStr"/>
    </row>
    <row r="42">
      <c r="B42" s="4" t="inlineStr">
        <is>
          <t>Le chiffre qui compte</t>
        </is>
      </c>
    </row>
    <row r="43">
      <c r="B43" s="3" t="inlineStr">
        <is>
          <t>BSSC et GECO passent de 2 % a 6 %. A un niveau de prix UE de 100 EUR/MWh, cela retire environ</t>
        </is>
      </c>
    </row>
    <row r="44">
      <c r="B44" s="3" t="inlineStr">
        <is>
          <t>3.2 EUR/MWh au netback a l'export, soit 1.6 fois le peage de transit. Tout le reste se joue a moins</t>
        </is>
      </c>
    </row>
    <row r="45">
      <c r="B45" s="3" t="inlineStr">
        <is>
          <t>d'un demi-point et ne changera aucun resultat.</t>
        </is>
      </c>
    </row>
    <row r="46">
      <c r="B46" s="3" t="inlineStr"/>
    </row>
    <row r="47">
      <c r="B47" s="4" t="inlineStr">
        <is>
          <t>Attention : l'agregation compte autant que le coefficient</t>
        </is>
      </c>
    </row>
    <row r="48">
      <c r="B48" s="3" t="inlineStr">
        <is>
          <t>aggregate_corridors.py fait aujourd'hui une moyenne NON PONDEREE des lignes d'un corridor, en incluant</t>
        </is>
      </c>
    </row>
    <row r="49">
      <c r="B49" s="3" t="inlineStr">
        <is>
          <t>les lignes hors service et les lignes non construites. Corriger les pertes sans corriger cette moyenne</t>
        </is>
      </c>
    </row>
    <row r="50">
      <c r="B50" s="3" t="inlineStr">
        <is>
          <t>ne changera presque rien. Voir l'onglet 4_Corridors_EPM.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95" customWidth="1" min="3" max="3"/>
  </cols>
  <sheetData>
    <row r="1">
      <c r="A1" s="1" t="inlineStr">
        <is>
          <t>PARAMETRES - seul onglet a modifier</t>
        </is>
      </c>
    </row>
    <row r="3">
      <c r="A3" s="4" t="inlineStr">
        <is>
          <t>TABLE A - Bareme simplifie (alimente l'onglet 1_Simplifie)</t>
        </is>
      </c>
    </row>
    <row r="4" ht="32" customHeight="1">
      <c r="A4" s="5" t="inlineStr">
        <is>
          <t>Categorie</t>
        </is>
      </c>
      <c r="B4" s="5" t="inlineStr">
        <is>
          <t>Pertes (p.u.)</t>
        </is>
      </c>
      <c r="C4" s="5" t="inlineStr">
        <is>
          <t>Justification / calibration</t>
        </is>
      </c>
    </row>
    <row r="5">
      <c r="A5" s="6" t="inlineStr">
        <is>
          <t>AC_HV</t>
        </is>
      </c>
      <c r="B5" s="7" t="n">
        <v>0.015</v>
      </c>
      <c r="C5" s="6" t="inlineStr">
        <is>
          <t>Lignes AC &gt;= 330 kV. De 44 a 182 km dans le perimetre : la formule donne 1.0 a 1.5 %.</t>
        </is>
      </c>
    </row>
    <row r="6">
      <c r="A6" s="6" t="inlineStr">
        <is>
          <t>AC_MV</t>
        </is>
      </c>
      <c r="B6" s="7" t="n">
        <v>0.025</v>
      </c>
      <c r="C6" s="6" t="inlineStr">
        <is>
          <t>Lignes AC &lt; 330 kV (220 / 154 / 110 kV). Formule : 2.2 % sur Alaverdi (220 kV, 80 km).</t>
        </is>
      </c>
    </row>
    <row r="7">
      <c r="A7" s="6" t="inlineStr">
        <is>
          <t>HVDC_B2B</t>
        </is>
      </c>
      <c r="B7" s="7" t="n">
        <v>0.03</v>
      </c>
      <c r="C7" s="6" t="inlineStr">
        <is>
          <t>Back-to-back + son antenne AC. Formule : 2.9 % sur BSTN (400 kV, 150 km).</t>
        </is>
      </c>
    </row>
    <row r="8">
      <c r="A8" s="6" t="inlineStr">
        <is>
          <t>HVDC_line</t>
        </is>
      </c>
      <c r="B8" s="7" t="n">
        <v>0.06</v>
      </c>
      <c r="C8" s="6" t="inlineStr">
        <is>
          <t>Liaison DC longue distance. Comparable EuroAsia Interconnector, ~1200 km, +-525 kV, ~6 %.</t>
        </is>
      </c>
    </row>
    <row r="11">
      <c r="A11" s="4" t="inlineStr">
        <is>
          <t>TABLE B - Pertes lineiques AC, p.u. par 100 km a charge nominale (alimente 2_Calcule)</t>
        </is>
      </c>
    </row>
    <row r="12" ht="32" customHeight="1">
      <c r="A12" s="5" t="inlineStr">
        <is>
          <t>Tension (kV)</t>
        </is>
      </c>
      <c r="B12" s="5" t="inlineStr">
        <is>
          <t>p.u. / 100 km</t>
        </is>
      </c>
      <c r="C12" s="5" t="inlineStr">
        <is>
          <t>Source / remarque</t>
        </is>
      </c>
    </row>
    <row r="13">
      <c r="A13" s="6" t="n">
        <v>110</v>
      </c>
      <c r="B13" s="8" t="n">
        <v>0.065</v>
      </c>
      <c r="C13" s="6" t="inlineStr">
        <is>
          <t>Ordres de grandeur de planification. Les pertes resistives varient en L/V^2 : chaque cran</t>
        </is>
      </c>
    </row>
    <row r="14">
      <c r="A14" s="6" t="n">
        <v>154</v>
      </c>
      <c r="B14" s="8" t="n">
        <v>0.035</v>
      </c>
      <c r="C14" s="6" t="inlineStr">
        <is>
          <t>de tension au-dessus divise sensiblement les pertes a puissance transportee egale.</t>
        </is>
      </c>
    </row>
    <row r="15">
      <c r="A15" s="6" t="n">
        <v>220</v>
      </c>
      <c r="B15" s="8" t="n">
        <v>0.02</v>
      </c>
      <c r="C15" s="6" t="inlineStr"/>
    </row>
    <row r="16">
      <c r="A16" s="6" t="n">
        <v>330</v>
      </c>
      <c r="B16" s="8" t="n">
        <v>0.008999999999999999</v>
      </c>
      <c r="C16" s="6" t="inlineStr"/>
    </row>
    <row r="17">
      <c r="A17" s="6" t="n">
        <v>400</v>
      </c>
      <c r="B17" s="8" t="n">
        <v>0.006</v>
      </c>
      <c r="C17" s="6" t="inlineStr">
        <is>
          <t>Valeur la mieux etablie du tableau, c'est le niveau de tension le plus documente.</t>
        </is>
      </c>
    </row>
    <row r="18">
      <c r="A18" s="6" t="n">
        <v>500</v>
      </c>
      <c r="B18" s="8" t="n">
        <v>0.0045</v>
      </c>
      <c r="C18" s="6" t="inlineStr">
        <is>
          <t>Utilise aussi pour +-525 kV cote AC (sans objet : le DC passe par la TABLE C).</t>
        </is>
      </c>
    </row>
    <row r="19">
      <c r="A19" s="6" t="n">
        <v>750</v>
      </c>
      <c r="B19" s="8" t="n">
        <v>0.003</v>
      </c>
      <c r="C19" s="6" t="inlineStr">
        <is>
          <t>Au-dela d'environ 400 km une ligne AC n'atteint pas sa limite thermique sans compensation</t>
        </is>
      </c>
    </row>
    <row r="20">
      <c r="C20" s="2" t="inlineStr">
        <is>
          <t>serie ; la formule sous-estime donc les tres longues lignes AC (aucune ici au-dela de 280 km).</t>
        </is>
      </c>
    </row>
    <row r="22">
      <c r="A22" s="4" t="inlineStr">
        <is>
          <t>TABLE C - Termes fixes (alimente 2_Calcule)</t>
        </is>
      </c>
    </row>
    <row r="23" ht="32" customHeight="1">
      <c r="A23" s="5" t="inlineStr">
        <is>
          <t>Libelle</t>
        </is>
      </c>
      <c r="B23" s="5" t="inlineStr">
        <is>
          <t>Valeur (p.u.)</t>
        </is>
      </c>
      <c r="C23" s="5" t="inlineStr">
        <is>
          <t>Source / remarque</t>
        </is>
      </c>
    </row>
    <row r="24">
      <c r="A24" s="6" t="inlineStr">
        <is>
          <t>Transformation (2 extremites)</t>
        </is>
      </c>
      <c r="B24" s="7" t="n">
        <v>0.006</v>
      </c>
      <c r="C24" s="6" t="inlineStr">
        <is>
          <t>0.3 % par poste : transformateurs et appareillage.</t>
        </is>
      </c>
    </row>
    <row r="25">
      <c r="A25" s="6" t="inlineStr">
        <is>
          <t>Paire convertisseurs LCC</t>
        </is>
      </c>
      <c r="B25" s="7" t="n">
        <v>0.014</v>
      </c>
      <c r="C25" s="6" t="inlineStr">
        <is>
          <t>Environ 0.7 % par station a thyristors. Back-to-back type Akhaltsikhe.</t>
        </is>
      </c>
    </row>
    <row r="26">
      <c r="A26" s="6" t="inlineStr">
        <is>
          <t>Paire convertisseurs VSC</t>
        </is>
      </c>
      <c r="B26" s="7" t="n">
        <v>0.015</v>
      </c>
      <c r="C26" s="6" t="inlineStr">
        <is>
          <t>0.7 a 0.8 % par station. Documentation constructeurs HVDC.</t>
        </is>
      </c>
    </row>
    <row r="27">
      <c r="A27" s="6" t="inlineStr">
        <is>
          <t>Conduction cable DC (p.u./1000 km)</t>
        </is>
      </c>
      <c r="B27" s="7" t="n">
        <v>0.04</v>
      </c>
      <c r="C27" s="6" t="inlineStr">
        <is>
          <t>Cale sur comparables +-525 kV : NordLink 623 km ~5 % total,</t>
        </is>
      </c>
    </row>
    <row r="28">
      <c r="C28" s="2" t="inlineStr">
        <is>
          <t>Viking Link 765 km ~5 %, EuroAsia ~1200 km ~6 %. A remplacer par la FS CESI quand elle sort.</t>
        </is>
      </c>
    </row>
    <row r="31">
      <c r="A31" s="9" t="inlineStr">
        <is>
          <t>REGLE : une etude de faisabilite prime toujours sur ces valeurs.</t>
        </is>
      </c>
    </row>
    <row r="32">
      <c r="A32" s="2" t="inlineStr">
        <is>
          <t>A ce jour aucune ligne du perimetre n'a de valeur de pertes issue d'une FS. Les deux seules FS en</t>
        </is>
      </c>
    </row>
    <row r="33">
      <c r="A33" s="2" t="inlineStr">
        <is>
          <t>cours (BSSC, GECO) portent sur des liaisons ou la valeur retenue ici, 6 %, est deja la plus documentee.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6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</cols>
  <sheetData>
    <row r="1">
      <c r="A1" s="1" t="inlineStr">
        <is>
          <t>VERSION SIMPLIFIEE - 4 categories, 4 valeurs</t>
        </is>
      </c>
    </row>
    <row r="2">
      <c r="A2" s="2" t="inlineStr">
        <is>
          <t>Colonne H : regle automatique (AC &gt;= 330 kV donne AC_HV, sinon AC_MV).  Colonne I : recherche dans Parametres TABLE A.</t>
        </is>
      </c>
    </row>
    <row r="4" ht="32" customHeight="1">
      <c r="A4" s="5" t="inlineStr">
        <is>
          <t>#</t>
        </is>
      </c>
      <c r="B4" s="5" t="inlineStr">
        <is>
          <t>Pays - Pays</t>
        </is>
      </c>
      <c r="C4" s="5" t="inlineStr">
        <is>
          <t>Ligne</t>
        </is>
      </c>
      <c r="D4" s="5" t="inlineStr">
        <is>
          <t>Statut</t>
        </is>
      </c>
      <c r="E4" s="5" t="inlineStr">
        <is>
          <t>Tension (kV)</t>
        </is>
      </c>
      <c r="F4" s="5" t="inlineStr">
        <is>
          <t>Longueur (km)</t>
        </is>
      </c>
      <c r="G4" s="5" t="inlineStr">
        <is>
          <t>Type</t>
        </is>
      </c>
      <c r="H4" s="5" t="inlineStr">
        <is>
          <t>Categorie</t>
        </is>
      </c>
      <c r="I4" s="5" t="inlineStr">
        <is>
          <t>PERTES (p.u.)</t>
        </is>
      </c>
      <c r="J4" s="5" t="inlineStr">
        <is>
          <t>Dans EPM ?</t>
        </is>
      </c>
      <c r="K4" s="5" t="inlineStr">
        <is>
          <t>Actuel</t>
        </is>
      </c>
    </row>
    <row r="5">
      <c r="A5" s="6" t="n">
        <v>1</v>
      </c>
      <c r="B5" s="6" t="inlineStr">
        <is>
          <t>Turkiye - Bulgarie</t>
        </is>
      </c>
      <c r="C5" s="6" t="inlineStr">
        <is>
          <t>Hamitabat - Maritsa East 3</t>
        </is>
      </c>
      <c r="D5" s="6" t="inlineStr">
        <is>
          <t>Existante</t>
        </is>
      </c>
      <c r="E5" s="6" t="n">
        <v>400</v>
      </c>
      <c r="F5" s="6" t="n">
        <v>180</v>
      </c>
      <c r="G5" s="6" t="inlineStr">
        <is>
          <t>AC</t>
        </is>
      </c>
      <c r="H5" s="10">
        <f>IF(G5="AC",IF(E5&gt;=330,"AC_HV","AC_MV"),G5)</f>
        <v/>
      </c>
      <c r="I5" s="7">
        <f>VLOOKUP(H5,Parametres!$A$5:$B$8,2,FALSE)</f>
        <v/>
      </c>
      <c r="J5" s="6" t="inlineStr">
        <is>
          <t>non</t>
        </is>
      </c>
      <c r="K5" s="11" t="n">
        <v>0.03</v>
      </c>
    </row>
    <row r="6">
      <c r="A6" s="6" t="n">
        <v>2</v>
      </c>
      <c r="B6" s="6" t="inlineStr">
        <is>
          <t>Turkiye - Georgie</t>
        </is>
      </c>
      <c r="C6" s="6" t="inlineStr">
        <is>
          <t>Black Sea Transmission Network (BSTN)</t>
        </is>
      </c>
      <c r="D6" s="6" t="inlineStr">
        <is>
          <t>Existante</t>
        </is>
      </c>
      <c r="E6" s="6" t="n">
        <v>400</v>
      </c>
      <c r="F6" s="6" t="n">
        <v>150</v>
      </c>
      <c r="G6" s="6" t="inlineStr">
        <is>
          <t>HVDC_B2B</t>
        </is>
      </c>
      <c r="H6" s="10">
        <f>IF(G6="AC",IF(E6&gt;=330,"AC_HV","AC_MV"),G6)</f>
        <v/>
      </c>
      <c r="I6" s="7">
        <f>VLOOKUP(H6,Parametres!$A$5:$B$8,2,FALSE)</f>
        <v/>
      </c>
      <c r="J6" s="6" t="inlineStr">
        <is>
          <t>oui</t>
        </is>
      </c>
      <c r="K6" s="11" t="n">
        <v>0.02</v>
      </c>
    </row>
    <row r="7">
      <c r="A7" s="6" t="n">
        <v>3</v>
      </c>
      <c r="B7" s="6" t="inlineStr">
        <is>
          <t>Turkiye - Georgie</t>
        </is>
      </c>
      <c r="C7" s="6" t="inlineStr">
        <is>
          <t>Hopa / Muratlı - Batumi (Achara line)</t>
        </is>
      </c>
      <c r="D7" s="6" t="inlineStr">
        <is>
          <t>Existante</t>
        </is>
      </c>
      <c r="E7" s="6" t="n">
        <v>220</v>
      </c>
      <c r="F7" s="6" t="n">
        <v>40</v>
      </c>
      <c r="G7" s="6" t="inlineStr">
        <is>
          <t>AC</t>
        </is>
      </c>
      <c r="H7" s="10">
        <f>IF(G7="AC",IF(E7&gt;=330,"AC_HV","AC_MV"),G7)</f>
        <v/>
      </c>
      <c r="I7" s="7">
        <f>VLOOKUP(H7,Parametres!$A$5:$B$8,2,FALSE)</f>
        <v/>
      </c>
      <c r="J7" s="6" t="inlineStr">
        <is>
          <t>oui</t>
        </is>
      </c>
      <c r="K7" s="11" t="n">
        <v>0.03</v>
      </c>
    </row>
    <row r="8">
      <c r="A8" s="6" t="n">
        <v>4</v>
      </c>
      <c r="B8" s="6" t="inlineStr">
        <is>
          <t>Turkiye - Grece</t>
        </is>
      </c>
      <c r="C8" s="6" t="inlineStr">
        <is>
          <t>Babaeski - Nea Santa</t>
        </is>
      </c>
      <c r="D8" s="6" t="inlineStr">
        <is>
          <t>Existante</t>
        </is>
      </c>
      <c r="E8" s="6" t="n">
        <v>400</v>
      </c>
      <c r="F8" s="6" t="n">
        <v>205</v>
      </c>
      <c r="G8" s="6" t="inlineStr">
        <is>
          <t>AC</t>
        </is>
      </c>
      <c r="H8" s="10">
        <f>IF(G8="AC",IF(E8&gt;=330,"AC_HV","AC_MV"),G8)</f>
        <v/>
      </c>
      <c r="I8" s="7">
        <f>VLOOKUP(H8,Parametres!$A$5:$B$8,2,FALSE)</f>
        <v/>
      </c>
      <c r="J8" s="6" t="inlineStr">
        <is>
          <t>non</t>
        </is>
      </c>
      <c r="K8" s="11" t="n">
        <v>0.02</v>
      </c>
    </row>
    <row r="9">
      <c r="A9" s="6" t="n">
        <v>5</v>
      </c>
      <c r="B9" s="6" t="inlineStr">
        <is>
          <t>Turkiye - Iran</t>
        </is>
      </c>
      <c r="C9" s="6" t="inlineStr">
        <is>
          <t>Van (B2B converter) - Khoy</t>
        </is>
      </c>
      <c r="D9" s="6" t="inlineStr">
        <is>
          <t>Existante</t>
        </is>
      </c>
      <c r="E9" s="6" t="n">
        <v>400</v>
      </c>
      <c r="F9" s="6" t="n">
        <v>115</v>
      </c>
      <c r="G9" s="6" t="inlineStr">
        <is>
          <t>HVDC_B2B</t>
        </is>
      </c>
      <c r="H9" s="10">
        <f>IF(G9="AC",IF(E9&gt;=330,"AC_HV","AC_MV"),G9)</f>
        <v/>
      </c>
      <c r="I9" s="7">
        <f>VLOOKUP(H9,Parametres!$A$5:$B$8,2,FALSE)</f>
        <v/>
      </c>
      <c r="J9" s="6" t="inlineStr">
        <is>
          <t>non</t>
        </is>
      </c>
      <c r="K9" s="11" t="n">
        <v>0.02</v>
      </c>
    </row>
    <row r="10">
      <c r="A10" s="6" t="n">
        <v>6</v>
      </c>
      <c r="B10" s="6" t="inlineStr">
        <is>
          <t>Turkiye - Irak</t>
        </is>
      </c>
      <c r="C10" s="6" t="inlineStr">
        <is>
          <t>Silopi - Mosul (West)</t>
        </is>
      </c>
      <c r="D10" s="6" t="inlineStr">
        <is>
          <t>Existante</t>
        </is>
      </c>
      <c r="E10" s="6" t="n">
        <v>400</v>
      </c>
      <c r="F10" s="6" t="n">
        <v>115</v>
      </c>
      <c r="G10" s="6" t="inlineStr">
        <is>
          <t>AC</t>
        </is>
      </c>
      <c r="H10" s="10">
        <f>IF(G10="AC",IF(E10&gt;=330,"AC_HV","AC_MV"),G10)</f>
        <v/>
      </c>
      <c r="I10" s="7">
        <f>VLOOKUP(H10,Parametres!$A$5:$B$8,2,FALSE)</f>
        <v/>
      </c>
      <c r="J10" s="6" t="inlineStr">
        <is>
          <t>non</t>
        </is>
      </c>
      <c r="K10" s="11" t="n">
        <v>0.03</v>
      </c>
    </row>
    <row r="11">
      <c r="A11" s="6" t="n">
        <v>7</v>
      </c>
      <c r="B11" s="6" t="inlineStr">
        <is>
          <t>Turkiye - Syrie</t>
        </is>
      </c>
      <c r="C11" s="6" t="inlineStr">
        <is>
          <t>Birecik HPP + 7 other crossings - Aleppo region</t>
        </is>
      </c>
      <c r="D11" s="6" t="inlineStr">
        <is>
          <t>Existante</t>
        </is>
      </c>
      <c r="E11" s="6" t="n">
        <v>400</v>
      </c>
      <c r="F11" s="6" t="n">
        <v>150</v>
      </c>
      <c r="G11" s="6" t="inlineStr">
        <is>
          <t>AC</t>
        </is>
      </c>
      <c r="H11" s="10">
        <f>IF(G11="AC",IF(E11&gt;=330,"AC_HV","AC_MV"),G11)</f>
        <v/>
      </c>
      <c r="I11" s="7">
        <f>VLOOKUP(H11,Parametres!$A$5:$B$8,2,FALSE)</f>
        <v/>
      </c>
      <c r="J11" s="6" t="inlineStr">
        <is>
          <t>non</t>
        </is>
      </c>
      <c r="K11" s="11" t="n">
        <v>0.03</v>
      </c>
    </row>
    <row r="12">
      <c r="A12" s="6" t="n">
        <v>8</v>
      </c>
      <c r="B12" s="6" t="inlineStr">
        <is>
          <t>Turkiye - Syrie</t>
        </is>
      </c>
      <c r="C12" s="6" t="inlineStr">
        <is>
          <t>WB Syria Electricity Emergency Project</t>
        </is>
      </c>
      <c r="D12" s="6" t="inlineStr">
        <is>
          <t>Engagee</t>
        </is>
      </c>
      <c r="E12" s="6" t="n">
        <v>400</v>
      </c>
      <c r="F12" s="6" t="n">
        <v>120</v>
      </c>
      <c r="G12" s="6" t="inlineStr">
        <is>
          <t>AC</t>
        </is>
      </c>
      <c r="H12" s="10">
        <f>IF(G12="AC",IF(E12&gt;=330,"AC_HV","AC_MV"),G12)</f>
        <v/>
      </c>
      <c r="I12" s="7">
        <f>VLOOKUP(H12,Parametres!$A$5:$B$8,2,FALSE)</f>
        <v/>
      </c>
      <c r="J12" s="6" t="inlineStr">
        <is>
          <t>non</t>
        </is>
      </c>
      <c r="K12" s="11" t="n">
        <v>0.03</v>
      </c>
    </row>
    <row r="13">
      <c r="A13" s="6" t="n">
        <v>9</v>
      </c>
      <c r="B13" s="6" t="inlineStr">
        <is>
          <t>Turkiye - Bulgarie</t>
        </is>
      </c>
      <c r="C13" s="6" t="inlineStr">
        <is>
          <t>EWTC</t>
        </is>
      </c>
      <c r="D13" s="6" t="inlineStr">
        <is>
          <t>Candidate</t>
        </is>
      </c>
      <c r="E13" s="6" t="n">
        <v>400</v>
      </c>
      <c r="F13" s="6" t="n">
        <v>190</v>
      </c>
      <c r="G13" s="6" t="inlineStr">
        <is>
          <t>AC</t>
        </is>
      </c>
      <c r="H13" s="10">
        <f>IF(G13="AC",IF(E13&gt;=330,"AC_HV","AC_MV"),G13)</f>
        <v/>
      </c>
      <c r="I13" s="7">
        <f>VLOOKUP(H13,Parametres!$A$5:$B$8,2,FALSE)</f>
        <v/>
      </c>
      <c r="J13" s="6" t="inlineStr">
        <is>
          <t>non</t>
        </is>
      </c>
      <c r="K13" s="11" t="n">
        <v>0.03</v>
      </c>
    </row>
    <row r="14">
      <c r="A14" s="6" t="n">
        <v>10</v>
      </c>
      <c r="B14" s="6" t="inlineStr">
        <is>
          <t>Turkiye - Georgie</t>
        </is>
      </c>
      <c r="C14" s="6" t="inlineStr">
        <is>
          <t>BSTN Extension</t>
        </is>
      </c>
      <c r="D14" s="6" t="inlineStr">
        <is>
          <t>Candidate</t>
        </is>
      </c>
      <c r="E14" s="6" t="n">
        <v>400</v>
      </c>
      <c r="F14" s="6" t="n">
        <v>80</v>
      </c>
      <c r="G14" s="6" t="inlineStr">
        <is>
          <t>HVDC_B2B</t>
        </is>
      </c>
      <c r="H14" s="10">
        <f>IF(G14="AC",IF(E14&gt;=330,"AC_HV","AC_MV"),G14)</f>
        <v/>
      </c>
      <c r="I14" s="7">
        <f>VLOOKUP(H14,Parametres!$A$5:$B$8,2,FALSE)</f>
        <v/>
      </c>
      <c r="J14" s="6" t="inlineStr">
        <is>
          <t>oui</t>
        </is>
      </c>
      <c r="K14" s="11" t="n">
        <v>0.02</v>
      </c>
    </row>
    <row r="15">
      <c r="A15" s="6" t="n">
        <v>11</v>
      </c>
      <c r="B15" s="6" t="inlineStr">
        <is>
          <t>Turkiye - Grece</t>
        </is>
      </c>
      <c r="C15" s="6" t="inlineStr">
        <is>
          <t>EWTC</t>
        </is>
      </c>
      <c r="D15" s="6" t="inlineStr">
        <is>
          <t>Candidate</t>
        </is>
      </c>
      <c r="E15" s="6" t="n">
        <v>400</v>
      </c>
      <c r="F15" s="6" t="n">
        <v>130</v>
      </c>
      <c r="G15" s="6" t="inlineStr">
        <is>
          <t>AC</t>
        </is>
      </c>
      <c r="H15" s="10">
        <f>IF(G15="AC",IF(E15&gt;=330,"AC_HV","AC_MV"),G15)</f>
        <v/>
      </c>
      <c r="I15" s="7">
        <f>VLOOKUP(H15,Parametres!$A$5:$B$8,2,FALSE)</f>
        <v/>
      </c>
      <c r="J15" s="6" t="inlineStr">
        <is>
          <t>non</t>
        </is>
      </c>
      <c r="K15" s="11" t="n">
        <v>0.03</v>
      </c>
    </row>
    <row r="16">
      <c r="A16" s="6" t="n">
        <v>12</v>
      </c>
      <c r="B16" s="6" t="inlineStr">
        <is>
          <t>Roumanie - Bulgarie</t>
        </is>
      </c>
      <c r="C16" s="6" t="inlineStr">
        <is>
          <t>Medgidia South - Varna</t>
        </is>
      </c>
      <c r="D16" s="6" t="inlineStr">
        <is>
          <t>Existante</t>
        </is>
      </c>
      <c r="E16" s="6" t="n">
        <v>400</v>
      </c>
      <c r="F16" s="6" t="n">
        <v>150</v>
      </c>
      <c r="G16" s="6" t="inlineStr">
        <is>
          <t>AC</t>
        </is>
      </c>
      <c r="H16" s="10">
        <f>IF(G16="AC",IF(E16&gt;=330,"AC_HV","AC_MV"),G16)</f>
        <v/>
      </c>
      <c r="I16" s="7">
        <f>VLOOKUP(H16,Parametres!$A$5:$B$8,2,FALSE)</f>
        <v/>
      </c>
      <c r="J16" s="6" t="inlineStr">
        <is>
          <t>non</t>
        </is>
      </c>
      <c r="K16" s="11" t="n">
        <v>0.03</v>
      </c>
    </row>
    <row r="17">
      <c r="A17" s="6" t="n">
        <v>13</v>
      </c>
      <c r="B17" s="6" t="inlineStr">
        <is>
          <t>Roumanie - Bulgarie</t>
        </is>
      </c>
      <c r="C17" s="6" t="inlineStr">
        <is>
          <t>Medgidia South - Dobrudja</t>
        </is>
      </c>
      <c r="D17" s="6" t="inlineStr">
        <is>
          <t>Existante</t>
        </is>
      </c>
      <c r="E17" s="6" t="n">
        <v>400</v>
      </c>
      <c r="F17" s="6" t="n">
        <v>120</v>
      </c>
      <c r="G17" s="6" t="inlineStr">
        <is>
          <t>AC</t>
        </is>
      </c>
      <c r="H17" s="10">
        <f>IF(G17="AC",IF(E17&gt;=330,"AC_HV","AC_MV"),G17)</f>
        <v/>
      </c>
      <c r="I17" s="7">
        <f>VLOOKUP(H17,Parametres!$A$5:$B$8,2,FALSE)</f>
        <v/>
      </c>
      <c r="J17" s="6" t="inlineStr">
        <is>
          <t>non</t>
        </is>
      </c>
      <c r="K17" s="11" t="n">
        <v>0.03</v>
      </c>
    </row>
    <row r="18">
      <c r="A18" s="6" t="n">
        <v>14</v>
      </c>
      <c r="B18" s="6" t="inlineStr">
        <is>
          <t>Roumanie - Bulgarie</t>
        </is>
      </c>
      <c r="C18" s="6" t="inlineStr">
        <is>
          <t>Țânțăreni - Kozloduy</t>
        </is>
      </c>
      <c r="D18" s="6" t="inlineStr">
        <is>
          <t>Existante</t>
        </is>
      </c>
      <c r="E18" s="6" t="n">
        <v>400</v>
      </c>
      <c r="F18" s="6" t="n">
        <v>120</v>
      </c>
      <c r="G18" s="6" t="inlineStr">
        <is>
          <t>AC</t>
        </is>
      </c>
      <c r="H18" s="10">
        <f>IF(G18="AC",IF(E18&gt;=330,"AC_HV","AC_MV"),G18)</f>
        <v/>
      </c>
      <c r="I18" s="7">
        <f>VLOOKUP(H18,Parametres!$A$5:$B$8,2,FALSE)</f>
        <v/>
      </c>
      <c r="J18" s="6" t="inlineStr">
        <is>
          <t>non</t>
        </is>
      </c>
      <c r="K18" s="11" t="n">
        <v>0.03</v>
      </c>
    </row>
    <row r="19">
      <c r="A19" s="6" t="n">
        <v>15</v>
      </c>
      <c r="B19" s="6" t="inlineStr">
        <is>
          <t>Roumanie - Serbie</t>
        </is>
      </c>
      <c r="C19" s="6" t="inlineStr">
        <is>
          <t>Porțile de Fier (Iron Gates) - Đerdap</t>
        </is>
      </c>
      <c r="D19" s="6" t="inlineStr">
        <is>
          <t>Existante</t>
        </is>
      </c>
      <c r="E19" s="6" t="n">
        <v>400</v>
      </c>
      <c r="F19" s="6" t="n">
        <v>100</v>
      </c>
      <c r="G19" s="6" t="inlineStr">
        <is>
          <t>AC</t>
        </is>
      </c>
      <c r="H19" s="10">
        <f>IF(G19="AC",IF(E19&gt;=330,"AC_HV","AC_MV"),G19)</f>
        <v/>
      </c>
      <c r="I19" s="7">
        <f>VLOOKUP(H19,Parametres!$A$5:$B$8,2,FALSE)</f>
        <v/>
      </c>
      <c r="J19" s="6" t="inlineStr">
        <is>
          <t>non</t>
        </is>
      </c>
      <c r="K19" s="11" t="n">
        <v>0.03</v>
      </c>
    </row>
    <row r="20">
      <c r="A20" s="6" t="n">
        <v>16</v>
      </c>
      <c r="B20" s="6" t="inlineStr">
        <is>
          <t>Roumanie - Serbie</t>
        </is>
      </c>
      <c r="C20" s="6" t="inlineStr">
        <is>
          <t>Mid Continental East Corridor (PCI)</t>
        </is>
      </c>
      <c r="D20" s="6" t="inlineStr">
        <is>
          <t>Existante</t>
        </is>
      </c>
      <c r="E20" s="6" t="n">
        <v>400</v>
      </c>
      <c r="F20" s="6" t="n">
        <v>131</v>
      </c>
      <c r="G20" s="6" t="inlineStr">
        <is>
          <t>AC</t>
        </is>
      </c>
      <c r="H20" s="10">
        <f>IF(G20="AC",IF(E20&gt;=330,"AC_HV","AC_MV"),G20)</f>
        <v/>
      </c>
      <c r="I20" s="7">
        <f>VLOOKUP(H20,Parametres!$A$5:$B$8,2,FALSE)</f>
        <v/>
      </c>
      <c r="J20" s="6" t="inlineStr">
        <is>
          <t>non</t>
        </is>
      </c>
      <c r="K20" s="11" t="n">
        <v>0.03</v>
      </c>
    </row>
    <row r="21">
      <c r="A21" s="6" t="n">
        <v>17</v>
      </c>
      <c r="B21" s="6" t="inlineStr">
        <is>
          <t>Roumanie - Hongrie</t>
        </is>
      </c>
      <c r="C21" s="6" t="inlineStr">
        <is>
          <t>Arad - Sándorfalva</t>
        </is>
      </c>
      <c r="D21" s="6" t="inlineStr">
        <is>
          <t>Existante</t>
        </is>
      </c>
      <c r="E21" s="6" t="n">
        <v>400</v>
      </c>
      <c r="F21" s="6" t="n">
        <v>120</v>
      </c>
      <c r="G21" s="6" t="inlineStr">
        <is>
          <t>AC</t>
        </is>
      </c>
      <c r="H21" s="10">
        <f>IF(G21="AC",IF(E21&gt;=330,"AC_HV","AC_MV"),G21)</f>
        <v/>
      </c>
      <c r="I21" s="7">
        <f>VLOOKUP(H21,Parametres!$A$5:$B$8,2,FALSE)</f>
        <v/>
      </c>
      <c r="J21" s="6" t="inlineStr">
        <is>
          <t>non</t>
        </is>
      </c>
      <c r="K21" s="11" t="n">
        <v>0.03</v>
      </c>
    </row>
    <row r="22">
      <c r="A22" s="6" t="n">
        <v>18</v>
      </c>
      <c r="B22" s="6" t="inlineStr">
        <is>
          <t>Roumanie - Hongrie</t>
        </is>
      </c>
      <c r="C22" s="6" t="inlineStr">
        <is>
          <t>Nădab - Békéscsaba</t>
        </is>
      </c>
      <c r="D22" s="6" t="inlineStr">
        <is>
          <t>Existante</t>
        </is>
      </c>
      <c r="E22" s="6" t="n">
        <v>400</v>
      </c>
      <c r="F22" s="6" t="n">
        <v>60</v>
      </c>
      <c r="G22" s="6" t="inlineStr">
        <is>
          <t>AC</t>
        </is>
      </c>
      <c r="H22" s="10">
        <f>IF(G22="AC",IF(E22&gt;=330,"AC_HV","AC_MV"),G22)</f>
        <v/>
      </c>
      <c r="I22" s="7">
        <f>VLOOKUP(H22,Parametres!$A$5:$B$8,2,FALSE)</f>
        <v/>
      </c>
      <c r="J22" s="6" t="inlineStr">
        <is>
          <t>non</t>
        </is>
      </c>
      <c r="K22" s="11" t="n">
        <v>0.03</v>
      </c>
    </row>
    <row r="23">
      <c r="A23" s="6" t="n">
        <v>19</v>
      </c>
      <c r="B23" s="6" t="inlineStr">
        <is>
          <t>Roumanie - Ukraine</t>
        </is>
      </c>
      <c r="C23" s="6" t="inlineStr">
        <is>
          <t>Isaccea - Pivdennoukrainsk NPP (750 kV)</t>
        </is>
      </c>
      <c r="D23" s="6" t="inlineStr">
        <is>
          <t>Existante</t>
        </is>
      </c>
      <c r="E23" s="6" t="n">
        <v>750</v>
      </c>
      <c r="F23" s="6" t="n">
        <v>280</v>
      </c>
      <c r="G23" s="6" t="inlineStr">
        <is>
          <t>AC</t>
        </is>
      </c>
      <c r="H23" s="10">
        <f>IF(G23="AC",IF(E23&gt;=330,"AC_HV","AC_MV"),G23)</f>
        <v/>
      </c>
      <c r="I23" s="7">
        <f>VLOOKUP(H23,Parametres!$A$5:$B$8,2,FALSE)</f>
        <v/>
      </c>
      <c r="J23" s="6" t="inlineStr">
        <is>
          <t>non</t>
        </is>
      </c>
      <c r="K23" s="11" t="n">
        <v>0.03</v>
      </c>
    </row>
    <row r="24">
      <c r="A24" s="6" t="n">
        <v>20</v>
      </c>
      <c r="B24" s="6" t="inlineStr">
        <is>
          <t>Roumanie - Ukraine</t>
        </is>
      </c>
      <c r="C24" s="6" t="inlineStr">
        <is>
          <t>Several lower-voltage crossings (Suceava, Maramureș) - Sev</t>
        </is>
      </c>
      <c r="D24" s="6" t="inlineStr">
        <is>
          <t>Existante</t>
        </is>
      </c>
      <c r="E24" s="6" t="n">
        <v>220</v>
      </c>
      <c r="F24" s="6" t="n">
        <v>80</v>
      </c>
      <c r="G24" s="6" t="inlineStr">
        <is>
          <t>AC</t>
        </is>
      </c>
      <c r="H24" s="10">
        <f>IF(G24="AC",IF(E24&gt;=330,"AC_HV","AC_MV"),G24)</f>
        <v/>
      </c>
      <c r="I24" s="7">
        <f>VLOOKUP(H24,Parametres!$A$5:$B$8,2,FALSE)</f>
        <v/>
      </c>
      <c r="J24" s="6" t="inlineStr">
        <is>
          <t>non</t>
        </is>
      </c>
      <c r="K24" s="11" t="n">
        <v>0.03</v>
      </c>
    </row>
    <row r="25">
      <c r="A25" s="6" t="n">
        <v>21</v>
      </c>
      <c r="B25" s="6" t="inlineStr">
        <is>
          <t>Roumanie - Moldavie</t>
        </is>
      </c>
      <c r="C25" s="6" t="inlineStr">
        <is>
          <t>Isaccea - Vulcăneşti</t>
        </is>
      </c>
      <c r="D25" s="6" t="inlineStr">
        <is>
          <t>Existante</t>
        </is>
      </c>
      <c r="E25" s="6" t="n">
        <v>400</v>
      </c>
      <c r="F25" s="6" t="n">
        <v>140</v>
      </c>
      <c r="G25" s="6" t="inlineStr">
        <is>
          <t>AC</t>
        </is>
      </c>
      <c r="H25" s="10">
        <f>IF(G25="AC",IF(E25&gt;=330,"AC_HV","AC_MV"),G25)</f>
        <v/>
      </c>
      <c r="I25" s="7">
        <f>VLOOKUP(H25,Parametres!$A$5:$B$8,2,FALSE)</f>
        <v/>
      </c>
      <c r="J25" s="6" t="inlineStr">
        <is>
          <t>non</t>
        </is>
      </c>
      <c r="K25" s="11" t="n">
        <v>0.03</v>
      </c>
    </row>
    <row r="26">
      <c r="A26" s="6" t="n">
        <v>22</v>
      </c>
      <c r="B26" s="6" t="inlineStr">
        <is>
          <t>Roumanie - Moldavie</t>
        </is>
      </c>
      <c r="C26" s="6" t="inlineStr">
        <is>
          <t>Romania-Moldova Phase I</t>
        </is>
      </c>
      <c r="D26" s="6" t="inlineStr">
        <is>
          <t>Engagee</t>
        </is>
      </c>
      <c r="E26" s="6" t="n">
        <v>400</v>
      </c>
      <c r="F26" s="6" t="n">
        <v>157</v>
      </c>
      <c r="G26" s="6" t="inlineStr">
        <is>
          <t>AC</t>
        </is>
      </c>
      <c r="H26" s="10">
        <f>IF(G26="AC",IF(E26&gt;=330,"AC_HV","AC_MV"),G26)</f>
        <v/>
      </c>
      <c r="I26" s="7">
        <f>VLOOKUP(H26,Parametres!$A$5:$B$8,2,FALSE)</f>
        <v/>
      </c>
      <c r="J26" s="6" t="inlineStr">
        <is>
          <t>non</t>
        </is>
      </c>
      <c r="K26" s="11" t="n">
        <v>0.03</v>
      </c>
    </row>
    <row r="27">
      <c r="A27" s="6" t="n">
        <v>23</v>
      </c>
      <c r="B27" s="6" t="inlineStr">
        <is>
          <t>Roumanie - Serbie</t>
        </is>
      </c>
      <c r="C27" s="6" t="inlineStr">
        <is>
          <t>Mid Continental East Corridor (PCI)</t>
        </is>
      </c>
      <c r="D27" s="6" t="inlineStr">
        <is>
          <t>Candidate</t>
        </is>
      </c>
      <c r="E27" s="6" t="n">
        <v>400</v>
      </c>
      <c r="F27" s="6" t="n">
        <v>131</v>
      </c>
      <c r="G27" s="6" t="inlineStr">
        <is>
          <t>AC</t>
        </is>
      </c>
      <c r="H27" s="10">
        <f>IF(G27="AC",IF(E27&gt;=330,"AC_HV","AC_MV"),G27)</f>
        <v/>
      </c>
      <c r="I27" s="7">
        <f>VLOOKUP(H27,Parametres!$A$5:$B$8,2,FALSE)</f>
        <v/>
      </c>
      <c r="J27" s="6" t="inlineStr">
        <is>
          <t>non</t>
        </is>
      </c>
      <c r="K27" s="11" t="n">
        <v>0.03</v>
      </c>
    </row>
    <row r="28">
      <c r="A28" s="6" t="n">
        <v>24</v>
      </c>
      <c r="B28" s="6" t="inlineStr">
        <is>
          <t>Roumanie - Hongrie</t>
        </is>
      </c>
      <c r="C28" s="6" t="inlineStr">
        <is>
          <t>Oradea - Józsa</t>
        </is>
      </c>
      <c r="D28" s="6" t="inlineStr">
        <is>
          <t>Candidate</t>
        </is>
      </c>
      <c r="E28" s="6" t="n">
        <v>400</v>
      </c>
      <c r="F28" s="6" t="n">
        <v>120</v>
      </c>
      <c r="G28" s="6" t="inlineStr">
        <is>
          <t>AC</t>
        </is>
      </c>
      <c r="H28" s="10">
        <f>IF(G28="AC",IF(E28&gt;=330,"AC_HV","AC_MV"),G28)</f>
        <v/>
      </c>
      <c r="I28" s="7">
        <f>VLOOKUP(H28,Parametres!$A$5:$B$8,2,FALSE)</f>
        <v/>
      </c>
      <c r="J28" s="6" t="inlineStr">
        <is>
          <t>non</t>
        </is>
      </c>
      <c r="K28" s="11" t="n">
        <v>0.03</v>
      </c>
    </row>
    <row r="29">
      <c r="A29" s="6" t="n">
        <v>25</v>
      </c>
      <c r="B29" s="6" t="inlineStr">
        <is>
          <t>Roumanie - Ukraine</t>
        </is>
      </c>
      <c r="C29" s="6" t="inlineStr">
        <is>
          <t>Suceava - Chernivtsi</t>
        </is>
      </c>
      <c r="D29" s="6" t="inlineStr">
        <is>
          <t>Candidate</t>
        </is>
      </c>
      <c r="E29" s="6" t="n">
        <v>400</v>
      </c>
      <c r="F29" s="6" t="n">
        <v>100</v>
      </c>
      <c r="G29" s="6" t="inlineStr">
        <is>
          <t>AC</t>
        </is>
      </c>
      <c r="H29" s="10">
        <f>IF(G29="AC",IF(E29&gt;=330,"AC_HV","AC_MV"),G29)</f>
        <v/>
      </c>
      <c r="I29" s="7">
        <f>VLOOKUP(H29,Parametres!$A$5:$B$8,2,FALSE)</f>
        <v/>
      </c>
      <c r="J29" s="6" t="inlineStr">
        <is>
          <t>non</t>
        </is>
      </c>
      <c r="K29" s="11" t="n">
        <v>0.03</v>
      </c>
    </row>
    <row r="30">
      <c r="A30" s="6" t="n">
        <v>26</v>
      </c>
      <c r="B30" s="6" t="inlineStr">
        <is>
          <t>Roumanie - Moldavie</t>
        </is>
      </c>
      <c r="C30" s="6" t="inlineStr">
        <is>
          <t>Romania-Moldova Phase II</t>
        </is>
      </c>
      <c r="D30" s="6" t="inlineStr">
        <is>
          <t>Candidate</t>
        </is>
      </c>
      <c r="E30" s="6" t="n">
        <v>400</v>
      </c>
      <c r="F30" s="6" t="n">
        <v>120</v>
      </c>
      <c r="G30" s="6" t="inlineStr">
        <is>
          <t>AC</t>
        </is>
      </c>
      <c r="H30" s="10">
        <f>IF(G30="AC",IF(E30&gt;=330,"AC_HV","AC_MV"),G30)</f>
        <v/>
      </c>
      <c r="I30" s="7">
        <f>VLOOKUP(H30,Parametres!$A$5:$B$8,2,FALSE)</f>
        <v/>
      </c>
      <c r="J30" s="6" t="inlineStr">
        <is>
          <t>non</t>
        </is>
      </c>
      <c r="K30" s="11" t="n">
        <v>0.03</v>
      </c>
    </row>
    <row r="31">
      <c r="A31" s="6" t="n">
        <v>27</v>
      </c>
      <c r="B31" s="6" t="inlineStr">
        <is>
          <t>Azerbaidjan - Turkiye</t>
        </is>
      </c>
      <c r="C31" s="6" t="inlineStr">
        <is>
          <t>Sederek / Babek - Iğdır</t>
        </is>
      </c>
      <c r="D31" s="6" t="inlineStr">
        <is>
          <t>Existante</t>
        </is>
      </c>
      <c r="E31" s="6" t="n">
        <v>154</v>
      </c>
      <c r="F31" s="6" t="n">
        <v>40</v>
      </c>
      <c r="G31" s="6" t="inlineStr">
        <is>
          <t>AC</t>
        </is>
      </c>
      <c r="H31" s="10">
        <f>IF(G31="AC",IF(E31&gt;=330,"AC_HV","AC_MV"),G31)</f>
        <v/>
      </c>
      <c r="I31" s="7">
        <f>VLOOKUP(H31,Parametres!$A$5:$B$8,2,FALSE)</f>
        <v/>
      </c>
      <c r="J31" s="6" t="inlineStr">
        <is>
          <t>oui</t>
        </is>
      </c>
      <c r="K31" s="11" t="n">
        <v>0.03</v>
      </c>
    </row>
    <row r="32">
      <c r="A32" s="6" t="n">
        <v>28</v>
      </c>
      <c r="B32" s="6" t="inlineStr">
        <is>
          <t>Azerbaidjan - Iran</t>
        </is>
      </c>
      <c r="C32" s="6" t="inlineStr">
        <is>
          <t>Babek / Julfa - Khoy / Marand</t>
        </is>
      </c>
      <c r="D32" s="6" t="inlineStr">
        <is>
          <t>Existante</t>
        </is>
      </c>
      <c r="E32" s="6" t="n">
        <v>220</v>
      </c>
      <c r="F32" s="6" t="n">
        <v>80</v>
      </c>
      <c r="G32" s="6" t="inlineStr">
        <is>
          <t>AC</t>
        </is>
      </c>
      <c r="H32" s="10">
        <f>IF(G32="AC",IF(E32&gt;=330,"AC_HV","AC_MV"),G32)</f>
        <v/>
      </c>
      <c r="I32" s="7">
        <f>VLOOKUP(H32,Parametres!$A$5:$B$8,2,FALSE)</f>
        <v/>
      </c>
      <c r="J32" s="6" t="inlineStr">
        <is>
          <t>non</t>
        </is>
      </c>
      <c r="K32" s="11" t="n">
        <v>0.03</v>
      </c>
    </row>
    <row r="33">
      <c r="A33" s="6" t="n">
        <v>29</v>
      </c>
      <c r="B33" s="6" t="inlineStr">
        <is>
          <t>Azerbaidjan - Turkiye</t>
        </is>
      </c>
      <c r="C33" s="6" t="inlineStr">
        <is>
          <t>Azerbaijan-Türkiye-Europe Green Corridor</t>
        </is>
      </c>
      <c r="D33" s="6" t="inlineStr">
        <is>
          <t>Candidate</t>
        </is>
      </c>
      <c r="E33" s="6" t="n">
        <v>400</v>
      </c>
      <c r="F33" s="6" t="n">
        <v>230</v>
      </c>
      <c r="G33" s="6" t="inlineStr">
        <is>
          <t>HVDC_B2B</t>
        </is>
      </c>
      <c r="H33" s="10">
        <f>IF(G33="AC",IF(E33&gt;=330,"AC_HV","AC_MV"),G33)</f>
        <v/>
      </c>
      <c r="I33" s="7">
        <f>VLOOKUP(H33,Parametres!$A$5:$B$8,2,FALSE)</f>
        <v/>
      </c>
      <c r="J33" s="6" t="inlineStr">
        <is>
          <t>oui</t>
        </is>
      </c>
      <c r="K33" s="11" t="n">
        <v>0.02</v>
      </c>
    </row>
    <row r="34">
      <c r="A34" s="6" t="n">
        <v>30</v>
      </c>
      <c r="B34" s="6" t="inlineStr">
        <is>
          <t>Georgie - Azerbaidjan</t>
        </is>
      </c>
      <c r="C34" s="6" t="inlineStr">
        <is>
          <t>Gardabani-500 - Samukh (Mukhrani Valley)</t>
        </is>
      </c>
      <c r="D34" s="6" t="inlineStr">
        <is>
          <t>Existante</t>
        </is>
      </c>
      <c r="E34" s="6" t="n">
        <v>500</v>
      </c>
      <c r="F34" s="6" t="n">
        <v>182</v>
      </c>
      <c r="G34" s="6" t="inlineStr">
        <is>
          <t>AC</t>
        </is>
      </c>
      <c r="H34" s="10">
        <f>IF(G34="AC",IF(E34&gt;=330,"AC_HV","AC_MV"),G34)</f>
        <v/>
      </c>
      <c r="I34" s="7">
        <f>VLOOKUP(H34,Parametres!$A$5:$B$8,2,FALSE)</f>
        <v/>
      </c>
      <c r="J34" s="6" t="inlineStr">
        <is>
          <t>oui</t>
        </is>
      </c>
      <c r="K34" s="11" t="n">
        <v>0.03</v>
      </c>
    </row>
    <row r="35">
      <c r="A35" s="6" t="n">
        <v>31</v>
      </c>
      <c r="B35" s="6" t="inlineStr">
        <is>
          <t>Georgie - Azerbaidjan</t>
        </is>
      </c>
      <c r="C35" s="6" t="inlineStr">
        <is>
          <t>Gardabani - Aghstafa</t>
        </is>
      </c>
      <c r="D35" s="6" t="inlineStr">
        <is>
          <t>Existante</t>
        </is>
      </c>
      <c r="E35" s="6" t="n">
        <v>330</v>
      </c>
      <c r="F35" s="6" t="n">
        <v>44</v>
      </c>
      <c r="G35" s="6" t="inlineStr">
        <is>
          <t>AC</t>
        </is>
      </c>
      <c r="H35" s="10">
        <f>IF(G35="AC",IF(E35&gt;=330,"AC_HV","AC_MV"),G35)</f>
        <v/>
      </c>
      <c r="I35" s="7">
        <f>VLOOKUP(H35,Parametres!$A$5:$B$8,2,FALSE)</f>
        <v/>
      </c>
      <c r="J35" s="6" t="inlineStr">
        <is>
          <t>oui</t>
        </is>
      </c>
      <c r="K35" s="11" t="n">
        <v>0.03</v>
      </c>
    </row>
    <row r="36">
      <c r="A36" s="6" t="n">
        <v>32</v>
      </c>
      <c r="B36" s="6" t="inlineStr">
        <is>
          <t>Georgie - Armenie</t>
        </is>
      </c>
      <c r="C36" s="6" t="inlineStr">
        <is>
          <t>Alaverdi - (Armenian border)</t>
        </is>
      </c>
      <c r="D36" s="6" t="inlineStr">
        <is>
          <t>Existante</t>
        </is>
      </c>
      <c r="E36" s="6" t="n">
        <v>220</v>
      </c>
      <c r="F36" s="6" t="n">
        <v>80</v>
      </c>
      <c r="G36" s="6" t="inlineStr">
        <is>
          <t>AC</t>
        </is>
      </c>
      <c r="H36" s="10">
        <f>IF(G36="AC",IF(E36&gt;=330,"AC_HV","AC_MV"),G36)</f>
        <v/>
      </c>
      <c r="I36" s="7">
        <f>VLOOKUP(H36,Parametres!$A$5:$B$8,2,FALSE)</f>
        <v/>
      </c>
      <c r="J36" s="6" t="inlineStr">
        <is>
          <t>oui</t>
        </is>
      </c>
      <c r="K36" s="11" t="n">
        <v>0.03</v>
      </c>
    </row>
    <row r="37">
      <c r="A37" s="6" t="n">
        <v>33</v>
      </c>
      <c r="B37" s="6" t="inlineStr">
        <is>
          <t>Georgie - Russie</t>
        </is>
      </c>
      <c r="C37" s="6" t="inlineStr">
        <is>
          <t>Kavkasioni 500 kV (Enguri/NW axis - RU)</t>
        </is>
      </c>
      <c r="D37" s="6" t="inlineStr">
        <is>
          <t>Existante</t>
        </is>
      </c>
      <c r="E37" s="6" t="n">
        <v>500</v>
      </c>
      <c r="F37" s="6" t="n">
        <v>150</v>
      </c>
      <c r="G37" s="6" t="inlineStr">
        <is>
          <t>AC</t>
        </is>
      </c>
      <c r="H37" s="10">
        <f>IF(G37="AC",IF(E37&gt;=330,"AC_HV","AC_MV"),G37)</f>
        <v/>
      </c>
      <c r="I37" s="7">
        <f>VLOOKUP(H37,Parametres!$A$5:$B$8,2,FALSE)</f>
        <v/>
      </c>
      <c r="J37" s="6" t="inlineStr">
        <is>
          <t>non</t>
        </is>
      </c>
      <c r="K37" s="11" t="n">
        <v>0.03</v>
      </c>
    </row>
    <row r="38">
      <c r="A38" s="6" t="n">
        <v>34</v>
      </c>
      <c r="B38" s="6" t="inlineStr">
        <is>
          <t>Georgie - Russie</t>
        </is>
      </c>
      <c r="C38" s="6" t="inlineStr">
        <is>
          <t>Salkhino - Sochi area</t>
        </is>
      </c>
      <c r="D38" s="6" t="inlineStr">
        <is>
          <t>Existante</t>
        </is>
      </c>
      <c r="E38" s="6" t="n">
        <v>220</v>
      </c>
      <c r="F38" s="6" t="n">
        <v>50</v>
      </c>
      <c r="G38" s="6" t="inlineStr">
        <is>
          <t>AC</t>
        </is>
      </c>
      <c r="H38" s="10">
        <f>IF(G38="AC",IF(E38&gt;=330,"AC_HV","AC_MV"),G38)</f>
        <v/>
      </c>
      <c r="I38" s="7">
        <f>VLOOKUP(H38,Parametres!$A$5:$B$8,2,FALSE)</f>
        <v/>
      </c>
      <c r="J38" s="6" t="inlineStr">
        <is>
          <t>non</t>
        </is>
      </c>
      <c r="K38" s="11" t="n">
        <v>0.03</v>
      </c>
    </row>
    <row r="39">
      <c r="A39" s="6" t="n">
        <v>35</v>
      </c>
      <c r="B39" s="6" t="inlineStr">
        <is>
          <t>Georgie - Russie</t>
        </is>
      </c>
      <c r="C39" s="6" t="inlineStr">
        <is>
          <t>Nakaduli - (Russian border)</t>
        </is>
      </c>
      <c r="D39" s="6" t="inlineStr">
        <is>
          <t>Existante</t>
        </is>
      </c>
      <c r="E39" s="6" t="n">
        <v>110</v>
      </c>
      <c r="F39" s="6" t="n">
        <v>60</v>
      </c>
      <c r="G39" s="6" t="inlineStr">
        <is>
          <t>AC</t>
        </is>
      </c>
      <c r="H39" s="10">
        <f>IF(G39="AC",IF(E39&gt;=330,"AC_HV","AC_MV"),G39)</f>
        <v/>
      </c>
      <c r="I39" s="7">
        <f>VLOOKUP(H39,Parametres!$A$5:$B$8,2,FALSE)</f>
        <v/>
      </c>
      <c r="J39" s="6" t="inlineStr">
        <is>
          <t>non</t>
        </is>
      </c>
      <c r="K39" s="11" t="n">
        <v>0.03</v>
      </c>
    </row>
    <row r="40">
      <c r="A40" s="6" t="n">
        <v>36</v>
      </c>
      <c r="B40" s="6" t="inlineStr">
        <is>
          <t>Georgie - Armenie</t>
        </is>
      </c>
      <c r="C40" s="6" t="inlineStr">
        <is>
          <t>Caucasus Transmission Network (CTN)</t>
        </is>
      </c>
      <c r="D40" s="6" t="inlineStr">
        <is>
          <t>Candidate</t>
        </is>
      </c>
      <c r="E40" s="6" t="n">
        <v>400</v>
      </c>
      <c r="F40" s="6" t="n">
        <v>90</v>
      </c>
      <c r="G40" s="6" t="inlineStr">
        <is>
          <t>HVDC_B2B</t>
        </is>
      </c>
      <c r="H40" s="10">
        <f>IF(G40="AC",IF(E40&gt;=330,"AC_HV","AC_MV"),G40)</f>
        <v/>
      </c>
      <c r="I40" s="7">
        <f>VLOOKUP(H40,Parametres!$A$5:$B$8,2,FALSE)</f>
        <v/>
      </c>
      <c r="J40" s="6" t="inlineStr">
        <is>
          <t>oui</t>
        </is>
      </c>
      <c r="K40" s="11" t="n">
        <v>0.02</v>
      </c>
    </row>
    <row r="41">
      <c r="A41" s="6" t="n">
        <v>37</v>
      </c>
      <c r="B41" s="6" t="inlineStr">
        <is>
          <t>Georgie - Roumanie</t>
        </is>
      </c>
      <c r="C41" s="6" t="inlineStr">
        <is>
          <t>Black Sea Submarine Cable (BSSC)</t>
        </is>
      </c>
      <c r="D41" s="6" t="inlineStr">
        <is>
          <t>Candidate</t>
        </is>
      </c>
      <c r="E41" s="6" t="n">
        <v>525</v>
      </c>
      <c r="F41" s="6" t="n">
        <v>1175</v>
      </c>
      <c r="G41" s="6" t="inlineStr">
        <is>
          <t>HVDC_line</t>
        </is>
      </c>
      <c r="H41" s="10">
        <f>IF(G41="AC",IF(E41&gt;=330,"AC_HV","AC_MV"),G41)</f>
        <v/>
      </c>
      <c r="I41" s="7">
        <f>VLOOKUP(H41,Parametres!$A$5:$B$8,2,FALSE)</f>
        <v/>
      </c>
      <c r="J41" s="6" t="inlineStr">
        <is>
          <t>non</t>
        </is>
      </c>
      <c r="K41" s="11" t="n">
        <v>0.02</v>
      </c>
    </row>
    <row r="42">
      <c r="A42" s="6" t="n">
        <v>38</v>
      </c>
      <c r="B42" s="6" t="inlineStr">
        <is>
          <t>Bulgarie - Grece</t>
        </is>
      </c>
      <c r="C42" s="6" t="inlineStr">
        <is>
          <t>Blagoevgrad area - Thessaloniki area</t>
        </is>
      </c>
      <c r="D42" s="6" t="inlineStr">
        <is>
          <t>Existante</t>
        </is>
      </c>
      <c r="E42" s="6" t="n">
        <v>400</v>
      </c>
      <c r="F42" s="6" t="n">
        <v>150</v>
      </c>
      <c r="G42" s="6" t="inlineStr">
        <is>
          <t>AC</t>
        </is>
      </c>
      <c r="H42" s="10">
        <f>IF(G42="AC",IF(E42&gt;=330,"AC_HV","AC_MV"),G42)</f>
        <v/>
      </c>
      <c r="I42" s="7">
        <f>VLOOKUP(H42,Parametres!$A$5:$B$8,2,FALSE)</f>
        <v/>
      </c>
      <c r="J42" s="6" t="inlineStr">
        <is>
          <t>non</t>
        </is>
      </c>
      <c r="K42" s="11" t="n">
        <v>0.03</v>
      </c>
    </row>
    <row r="43">
      <c r="A43" s="6" t="n">
        <v>39</v>
      </c>
      <c r="B43" s="6" t="inlineStr">
        <is>
          <t>Bulgarie - Grece</t>
        </is>
      </c>
      <c r="C43" s="6" t="inlineStr">
        <is>
          <t>BG-GR 2nd interconnection (PCI)</t>
        </is>
      </c>
      <c r="D43" s="6" t="inlineStr">
        <is>
          <t>Existante</t>
        </is>
      </c>
      <c r="E43" s="6" t="n">
        <v>400</v>
      </c>
      <c r="F43" s="6" t="n">
        <v>151</v>
      </c>
      <c r="G43" s="6" t="inlineStr">
        <is>
          <t>AC</t>
        </is>
      </c>
      <c r="H43" s="10">
        <f>IF(G43="AC",IF(E43&gt;=330,"AC_HV","AC_MV"),G43)</f>
        <v/>
      </c>
      <c r="I43" s="7">
        <f>VLOOKUP(H43,Parametres!$A$5:$B$8,2,FALSE)</f>
        <v/>
      </c>
      <c r="J43" s="6" t="inlineStr">
        <is>
          <t>non</t>
        </is>
      </c>
      <c r="K43" s="11" t="n">
        <v>0.03</v>
      </c>
    </row>
    <row r="44">
      <c r="A44" s="6" t="n">
        <v>40</v>
      </c>
      <c r="B44" s="6" t="inlineStr">
        <is>
          <t>Bulgarie - Serbie</t>
        </is>
      </c>
      <c r="C44" s="6" t="inlineStr">
        <is>
          <t>Sofia West - Niš</t>
        </is>
      </c>
      <c r="D44" s="6" t="inlineStr">
        <is>
          <t>Existante</t>
        </is>
      </c>
      <c r="E44" s="6" t="n">
        <v>400</v>
      </c>
      <c r="F44" s="6" t="n">
        <v>150</v>
      </c>
      <c r="G44" s="6" t="inlineStr">
        <is>
          <t>AC</t>
        </is>
      </c>
      <c r="H44" s="10">
        <f>IF(G44="AC",IF(E44&gt;=330,"AC_HV","AC_MV"),G44)</f>
        <v/>
      </c>
      <c r="I44" s="7">
        <f>VLOOKUP(H44,Parametres!$A$5:$B$8,2,FALSE)</f>
        <v/>
      </c>
      <c r="J44" s="6" t="inlineStr">
        <is>
          <t>non</t>
        </is>
      </c>
      <c r="K44" s="11" t="n">
        <v>0.03</v>
      </c>
    </row>
    <row r="45">
      <c r="A45" s="6" t="n">
        <v>41</v>
      </c>
      <c r="B45" s="6" t="inlineStr">
        <is>
          <t>Azerbaidjan - Azerbaidjan</t>
        </is>
      </c>
      <c r="C45" s="6" t="inlineStr">
        <is>
          <t>Zangezur corridor</t>
        </is>
      </c>
      <c r="D45" s="6" t="inlineStr">
        <is>
          <t>Engagee</t>
        </is>
      </c>
      <c r="E45" s="6" t="n">
        <v>330</v>
      </c>
      <c r="F45" s="6" t="n">
        <v>223</v>
      </c>
      <c r="G45" s="6" t="inlineStr">
        <is>
          <t>AC</t>
        </is>
      </c>
      <c r="H45" s="10">
        <f>IF(G45="AC",IF(E45&gt;=330,"AC_HV","AC_MV"),G45)</f>
        <v/>
      </c>
      <c r="I45" s="7">
        <f>VLOOKUP(H45,Parametres!$A$5:$B$8,2,FALSE)</f>
        <v/>
      </c>
      <c r="J45" s="6" t="inlineStr">
        <is>
          <t>oui</t>
        </is>
      </c>
      <c r="K45" s="11" t="n">
        <v>0.03</v>
      </c>
    </row>
    <row r="46">
      <c r="A46" s="6" t="n">
        <v>42</v>
      </c>
      <c r="B46" s="6" t="inlineStr">
        <is>
          <t>Azerbaidjan - Russie</t>
        </is>
      </c>
      <c r="C46" s="6" t="inlineStr">
        <is>
          <t>Yashma - Derbent</t>
        </is>
      </c>
      <c r="D46" s="6" t="inlineStr">
        <is>
          <t>Existante</t>
        </is>
      </c>
      <c r="E46" s="6" t="n">
        <v>330</v>
      </c>
      <c r="F46" s="6" t="n">
        <v>200</v>
      </c>
      <c r="G46" s="6" t="inlineStr">
        <is>
          <t>AC</t>
        </is>
      </c>
      <c r="H46" s="10">
        <f>IF(G46="AC",IF(E46&gt;=330,"AC_HV","AC_MV"),G46)</f>
        <v/>
      </c>
      <c r="I46" s="7">
        <f>VLOOKUP(H46,Parametres!$A$5:$B$8,2,FALSE)</f>
        <v/>
      </c>
      <c r="J46" s="6" t="inlineStr">
        <is>
          <t>non</t>
        </is>
      </c>
      <c r="K46" s="11" t="n">
        <v>0.03</v>
      </c>
    </row>
    <row r="47">
      <c r="A47" s="6" t="n">
        <v>43</v>
      </c>
      <c r="B47" s="6" t="inlineStr">
        <is>
          <t>Azerbaidjan - Russie</t>
        </is>
      </c>
      <c r="C47" s="6" t="inlineStr">
        <is>
          <t>Khachmaz - Derbent</t>
        </is>
      </c>
      <c r="D47" s="6" t="inlineStr">
        <is>
          <t>Existante</t>
        </is>
      </c>
      <c r="E47" s="6" t="n">
        <v>330</v>
      </c>
      <c r="F47" s="6" t="n">
        <v>120</v>
      </c>
      <c r="G47" s="6" t="inlineStr">
        <is>
          <t>AC</t>
        </is>
      </c>
      <c r="H47" s="10">
        <f>IF(G47="AC",IF(E47&gt;=330,"AC_HV","AC_MV"),G47)</f>
        <v/>
      </c>
      <c r="I47" s="7">
        <f>VLOOKUP(H47,Parametres!$A$5:$B$8,2,FALSE)</f>
        <v/>
      </c>
      <c r="J47" s="6" t="inlineStr">
        <is>
          <t>non</t>
        </is>
      </c>
      <c r="K47" s="11" t="n">
        <v>0.03</v>
      </c>
    </row>
    <row r="48">
      <c r="A48" s="6" t="n">
        <v>44</v>
      </c>
      <c r="B48" s="6" t="inlineStr">
        <is>
          <t>Azerbaidjan - Russie</t>
        </is>
      </c>
      <c r="C48" s="6" t="inlineStr">
        <is>
          <t>Yalama - Bilici</t>
        </is>
      </c>
      <c r="D48" s="6" t="inlineStr">
        <is>
          <t>Existante</t>
        </is>
      </c>
      <c r="E48" s="6" t="n">
        <v>110</v>
      </c>
      <c r="F48" s="6" t="n">
        <v>50</v>
      </c>
      <c r="G48" s="6" t="inlineStr">
        <is>
          <t>AC</t>
        </is>
      </c>
      <c r="H48" s="10">
        <f>IF(G48="AC",IF(E48&gt;=330,"AC_HV","AC_MV"),G48)</f>
        <v/>
      </c>
      <c r="I48" s="7">
        <f>VLOOKUP(H48,Parametres!$A$5:$B$8,2,FALSE)</f>
        <v/>
      </c>
      <c r="J48" s="6" t="inlineStr">
        <is>
          <t>non</t>
        </is>
      </c>
      <c r="K48" s="11" t="n">
        <v>0.03</v>
      </c>
    </row>
    <row r="49">
      <c r="A49" s="6" t="n">
        <v>45</v>
      </c>
      <c r="B49" s="6" t="inlineStr">
        <is>
          <t>Azerbaidjan - Iran</t>
        </is>
      </c>
      <c r="C49" s="6" t="inlineStr">
        <is>
          <t>Imishli/Masalli/Ali Bayramli/Araz - Iran (4 PTLs combined)</t>
        </is>
      </c>
      <c r="D49" s="6" t="inlineStr">
        <is>
          <t>Existante</t>
        </is>
      </c>
      <c r="E49" s="6" t="n">
        <v>220</v>
      </c>
      <c r="F49" s="6" t="n">
        <v>100</v>
      </c>
      <c r="G49" s="6" t="inlineStr">
        <is>
          <t>AC</t>
        </is>
      </c>
      <c r="H49" s="10">
        <f>IF(G49="AC",IF(E49&gt;=330,"AC_HV","AC_MV"),G49)</f>
        <v/>
      </c>
      <c r="I49" s="7">
        <f>VLOOKUP(H49,Parametres!$A$5:$B$8,2,FALSE)</f>
        <v/>
      </c>
      <c r="J49" s="6" t="inlineStr">
        <is>
          <t>non</t>
        </is>
      </c>
      <c r="K49" s="11" t="n">
        <v>0.03</v>
      </c>
    </row>
    <row r="50">
      <c r="A50" s="6" t="n">
        <v>46</v>
      </c>
      <c r="B50" s="6" t="inlineStr">
        <is>
          <t>Azerbaidjan - Russie</t>
        </is>
      </c>
      <c r="C50" s="6" t="inlineStr">
        <is>
          <t>Absheron-Yashma - Derbent (2nd line)</t>
        </is>
      </c>
      <c r="D50" s="6" t="inlineStr">
        <is>
          <t>Candidate</t>
        </is>
      </c>
      <c r="E50" s="6" t="n">
        <v>330</v>
      </c>
      <c r="F50" s="6" t="n">
        <v>200</v>
      </c>
      <c r="G50" s="6" t="inlineStr">
        <is>
          <t>AC</t>
        </is>
      </c>
      <c r="H50" s="10">
        <f>IF(G50="AC",IF(E50&gt;=330,"AC_HV","AC_MV"),G50)</f>
        <v/>
      </c>
      <c r="I50" s="7">
        <f>VLOOKUP(H50,Parametres!$A$5:$B$8,2,FALSE)</f>
        <v/>
      </c>
      <c r="J50" s="6" t="inlineStr">
        <is>
          <t>non</t>
        </is>
      </c>
      <c r="K50" s="11" t="n">
        <v>0.03</v>
      </c>
    </row>
    <row r="51">
      <c r="A51" s="6" t="n">
        <v>47</v>
      </c>
      <c r="B51" s="6" t="inlineStr">
        <is>
          <t>Armenie - Turkiye</t>
        </is>
      </c>
      <c r="C51" s="6" t="inlineStr">
        <is>
          <t>Armenian border - Kars (Türkiye)</t>
        </is>
      </c>
      <c r="D51" s="6" t="inlineStr">
        <is>
          <t>Existante</t>
        </is>
      </c>
      <c r="E51" s="6" t="n">
        <v>220</v>
      </c>
      <c r="F51" s="6" t="n">
        <v>80</v>
      </c>
      <c r="G51" s="6" t="inlineStr">
        <is>
          <t>AC</t>
        </is>
      </c>
      <c r="H51" s="10">
        <f>IF(G51="AC",IF(E51&gt;=330,"AC_HV","AC_MV"),G51)</f>
        <v/>
      </c>
      <c r="I51" s="7">
        <f>VLOOKUP(H51,Parametres!$A$5:$B$8,2,FALSE)</f>
        <v/>
      </c>
      <c r="J51" s="6" t="inlineStr">
        <is>
          <t>oui</t>
        </is>
      </c>
      <c r="K51" s="11" t="n">
        <v>0.03</v>
      </c>
    </row>
    <row r="52">
      <c r="A52" s="6" t="n">
        <v>48</v>
      </c>
      <c r="B52" s="6" t="inlineStr">
        <is>
          <t>Armenie - Azerbaidjan</t>
        </is>
      </c>
      <c r="C52" s="6" t="inlineStr">
        <is>
          <t>Soviet-era lines (multiple) - Soviet-era lines (multiple)</t>
        </is>
      </c>
      <c r="D52" s="6" t="inlineStr">
        <is>
          <t>Existante</t>
        </is>
      </c>
      <c r="E52" s="6" t="n">
        <v>220</v>
      </c>
      <c r="F52" s="6" t="n">
        <v>60</v>
      </c>
      <c r="G52" s="6" t="inlineStr">
        <is>
          <t>AC</t>
        </is>
      </c>
      <c r="H52" s="10">
        <f>IF(G52="AC",IF(E52&gt;=330,"AC_HV","AC_MV"),G52)</f>
        <v/>
      </c>
      <c r="I52" s="7">
        <f>VLOOKUP(H52,Parametres!$A$5:$B$8,2,FALSE)</f>
        <v/>
      </c>
      <c r="J52" s="6" t="inlineStr">
        <is>
          <t>oui</t>
        </is>
      </c>
      <c r="K52" s="11" t="n">
        <v>0.03</v>
      </c>
    </row>
    <row r="53">
      <c r="A53" s="6" t="n">
        <v>49</v>
      </c>
      <c r="B53" s="6" t="inlineStr">
        <is>
          <t>Armenie - Iran</t>
        </is>
      </c>
      <c r="C53" s="6" t="inlineStr">
        <is>
          <t>Agarak / Meghri - Iran border (2 lines)</t>
        </is>
      </c>
      <c r="D53" s="6" t="inlineStr">
        <is>
          <t>Existante</t>
        </is>
      </c>
      <c r="E53" s="6" t="n">
        <v>220</v>
      </c>
      <c r="F53" s="6" t="n">
        <v>100</v>
      </c>
      <c r="G53" s="6" t="inlineStr">
        <is>
          <t>AC</t>
        </is>
      </c>
      <c r="H53" s="10">
        <f>IF(G53="AC",IF(E53&gt;=330,"AC_HV","AC_MV"),G53)</f>
        <v/>
      </c>
      <c r="I53" s="7">
        <f>VLOOKUP(H53,Parametres!$A$5:$B$8,2,FALSE)</f>
        <v/>
      </c>
      <c r="J53" s="6" t="inlineStr">
        <is>
          <t>non</t>
        </is>
      </c>
      <c r="K53" s="11" t="n">
        <v>0.03</v>
      </c>
    </row>
    <row r="54">
      <c r="A54" s="6" t="n">
        <v>50</v>
      </c>
      <c r="B54" s="6" t="inlineStr">
        <is>
          <t>Armenie - Iran</t>
        </is>
      </c>
      <c r="C54" s="6" t="inlineStr">
        <is>
          <t>AGIR / 3rd Iran-Armenia line</t>
        </is>
      </c>
      <c r="D54" s="6" t="inlineStr">
        <is>
          <t>Engagee</t>
        </is>
      </c>
      <c r="E54" s="6" t="n">
        <v>400</v>
      </c>
      <c r="F54" s="6" t="n">
        <v>80</v>
      </c>
      <c r="G54" s="6" t="inlineStr">
        <is>
          <t>AC</t>
        </is>
      </c>
      <c r="H54" s="10">
        <f>IF(G54="AC",IF(E54&gt;=330,"AC_HV","AC_MV"),G54)</f>
        <v/>
      </c>
      <c r="I54" s="7">
        <f>VLOOKUP(H54,Parametres!$A$5:$B$8,2,FALSE)</f>
        <v/>
      </c>
      <c r="J54" s="6" t="inlineStr">
        <is>
          <t>non</t>
        </is>
      </c>
      <c r="K54" s="11" t="n">
        <v>0.03</v>
      </c>
    </row>
    <row r="55">
      <c r="A55" s="6" t="n">
        <v>51</v>
      </c>
      <c r="B55" s="6" t="inlineStr">
        <is>
          <t>Georgie - Roumanie</t>
        </is>
      </c>
      <c r="C55" s="6" t="inlineStr">
        <is>
          <t>GECO (Caspian–Black Sea–Europe Green Energy Corridor)</t>
        </is>
      </c>
      <c r="D55" s="6" t="inlineStr">
        <is>
          <t>Candidate</t>
        </is>
      </c>
      <c r="E55" s="6" t="n">
        <v>525</v>
      </c>
      <c r="F55" s="6" t="n">
        <v>1175</v>
      </c>
      <c r="G55" s="6" t="inlineStr">
        <is>
          <t>HVDC_line</t>
        </is>
      </c>
      <c r="H55" s="10">
        <f>IF(G55="AC",IF(E55&gt;=330,"AC_HV","AC_MV"),G55)</f>
        <v/>
      </c>
      <c r="I55" s="7">
        <f>VLOOKUP(H55,Parametres!$A$5:$B$8,2,FALSE)</f>
        <v/>
      </c>
      <c r="J55" s="6" t="inlineStr">
        <is>
          <t>non</t>
        </is>
      </c>
      <c r="K55" s="11" t="n">
        <v>0.02</v>
      </c>
    </row>
    <row r="56">
      <c r="A56" s="6" t="n">
        <v>52</v>
      </c>
      <c r="B56" s="6" t="inlineStr">
        <is>
          <t>Azerbaidjan - Kazakhstan</t>
        </is>
      </c>
      <c r="C56" s="6" t="inlineStr">
        <is>
          <t>Trans-Caspian GEC / Green Corridor Alliance (GCA)</t>
        </is>
      </c>
      <c r="D56" s="6" t="inlineStr">
        <is>
          <t>Candidate</t>
        </is>
      </c>
      <c r="E56" s="6" t="n">
        <v>525</v>
      </c>
      <c r="F56" s="6" t="n">
        <v>450</v>
      </c>
      <c r="G56" s="6" t="inlineStr">
        <is>
          <t>HVDC_line</t>
        </is>
      </c>
      <c r="H56" s="10">
        <f>IF(G56="AC",IF(E56&gt;=330,"AC_HV","AC_MV"),G56)</f>
        <v/>
      </c>
      <c r="I56" s="7">
        <f>VLOOKUP(H56,Parametres!$A$5:$B$8,2,FALSE)</f>
        <v/>
      </c>
      <c r="J56" s="6" t="inlineStr">
        <is>
          <t>non</t>
        </is>
      </c>
      <c r="K56" s="11" t="n"/>
    </row>
    <row r="57">
      <c r="A57" s="6" t="n">
        <v>53</v>
      </c>
      <c r="B57" s="6" t="inlineStr">
        <is>
          <t>Georgie - Russie</t>
        </is>
      </c>
      <c r="C57" s="6" t="inlineStr">
        <is>
          <t>Java - (Russian border)</t>
        </is>
      </c>
      <c r="D57" s="6" t="inlineStr">
        <is>
          <t>Existante</t>
        </is>
      </c>
      <c r="E57" s="6" t="n">
        <v>110</v>
      </c>
      <c r="F57" s="6" t="n">
        <v>40</v>
      </c>
      <c r="G57" s="6" t="inlineStr">
        <is>
          <t>AC</t>
        </is>
      </c>
      <c r="H57" s="10">
        <f>IF(G57="AC",IF(E57&gt;=330,"AC_HV","AC_MV"),G57)</f>
        <v/>
      </c>
      <c r="I57" s="7">
        <f>VLOOKUP(H57,Parametres!$A$5:$B$8,2,FALSE)</f>
        <v/>
      </c>
      <c r="J57" s="6" t="inlineStr">
        <is>
          <t>non</t>
        </is>
      </c>
      <c r="K57" s="11" t="n"/>
    </row>
  </sheetData>
  <autoFilter ref="A4:K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2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7" customWidth="1" min="13" max="13"/>
  </cols>
  <sheetData>
    <row r="1">
      <c r="A1" s="1" t="inlineStr">
        <is>
          <t>VERSION CALCULEE - tension x longueur + termes fixes</t>
        </is>
      </c>
    </row>
    <row r="2">
      <c r="A2" s="2" t="inlineStr">
        <is>
          <t>Colonne H = terme proportionnel a la longueur.  Colonne I = termes fixes.  Colonne J = somme arrondie.</t>
        </is>
      </c>
    </row>
    <row r="4" ht="32" customHeight="1">
      <c r="A4" s="5" t="inlineStr">
        <is>
          <t>#</t>
        </is>
      </c>
      <c r="B4" s="5" t="inlineStr">
        <is>
          <t>Pays - Pays</t>
        </is>
      </c>
      <c r="C4" s="5" t="inlineStr">
        <is>
          <t>Ligne</t>
        </is>
      </c>
      <c r="D4" s="5" t="inlineStr">
        <is>
          <t>Statut</t>
        </is>
      </c>
      <c r="E4" s="5" t="inlineStr">
        <is>
          <t>Tension (kV)</t>
        </is>
      </c>
      <c r="F4" s="5" t="inlineStr">
        <is>
          <t>Longueur (km)</t>
        </is>
      </c>
      <c r="G4" s="5" t="inlineStr">
        <is>
          <t>Type</t>
        </is>
      </c>
      <c r="H4" s="5" t="inlineStr">
        <is>
          <t>Terme longueur</t>
        </is>
      </c>
      <c r="I4" s="5" t="inlineStr">
        <is>
          <t>Termes fixes</t>
        </is>
      </c>
      <c r="J4" s="5" t="inlineStr">
        <is>
          <t>PERTES (p.u.)</t>
        </is>
      </c>
      <c r="K4" s="5" t="inlineStr">
        <is>
          <t>Base longueur</t>
        </is>
      </c>
      <c r="L4" s="5" t="inlineStr">
        <is>
          <t>kV (source)</t>
        </is>
      </c>
      <c r="M4" s="5" t="inlineStr">
        <is>
          <t>km (source)</t>
        </is>
      </c>
    </row>
    <row r="5">
      <c r="A5" s="6" t="n">
        <v>1</v>
      </c>
      <c r="B5" s="6" t="inlineStr">
        <is>
          <t>Turkiye - Bulgarie</t>
        </is>
      </c>
      <c r="C5" s="6" t="inlineStr">
        <is>
          <t>Hamitabat - Maritsa East 3</t>
        </is>
      </c>
      <c r="D5" s="6" t="inlineStr">
        <is>
          <t>Existante</t>
        </is>
      </c>
      <c r="E5" s="6" t="n">
        <v>400</v>
      </c>
      <c r="F5" s="6" t="n">
        <v>180</v>
      </c>
      <c r="G5" s="6" t="inlineStr">
        <is>
          <t>AC</t>
        </is>
      </c>
      <c r="H5" s="12">
        <f>IF(G5="HVDC_line",Parametres!$B$27*F5/1000,VLOOKUP(E5,Parametres!$A$13:$B$19,2,FALSE)*F5/100)</f>
        <v/>
      </c>
      <c r="I5" s="12">
        <f>IF(G5="HVDC_line",Parametres!$B$26,Parametres!$B$24+IF(G5="HVDC_B2B",Parametres!$B$25,0))</f>
        <v/>
      </c>
      <c r="J5" s="13">
        <f>ROUND(H5+I5,4)</f>
        <v/>
      </c>
      <c r="K5" s="6" t="inlineStr">
        <is>
          <t>ref</t>
        </is>
      </c>
      <c r="L5" s="6" t="inlineStr">
        <is>
          <t>400</t>
        </is>
      </c>
      <c r="M5" s="6" t="inlineStr">
        <is>
          <t>~180</t>
        </is>
      </c>
    </row>
    <row r="6">
      <c r="A6" s="6" t="n">
        <v>2</v>
      </c>
      <c r="B6" s="6" t="inlineStr">
        <is>
          <t>Turkiye - Georgie</t>
        </is>
      </c>
      <c r="C6" s="6" t="inlineStr">
        <is>
          <t>Black Sea Transmission Network (BSTN)</t>
        </is>
      </c>
      <c r="D6" s="6" t="inlineStr">
        <is>
          <t>Existante</t>
        </is>
      </c>
      <c r="E6" s="6" t="n">
        <v>400</v>
      </c>
      <c r="F6" s="6" t="n">
        <v>150</v>
      </c>
      <c r="G6" s="6" t="inlineStr">
        <is>
          <t>HVDC_B2B</t>
        </is>
      </c>
      <c r="H6" s="12">
        <f>IF(G6="HVDC_line",Parametres!$B$27*F6/1000,VLOOKUP(E6,Parametres!$A$13:$B$19,2,FALSE)*F6/100)</f>
        <v/>
      </c>
      <c r="I6" s="12">
        <f>IF(G6="HVDC_line",Parametres!$B$26,Parametres!$B$24+IF(G6="HVDC_B2B",Parametres!$B$25,0))</f>
        <v/>
      </c>
      <c r="J6" s="13">
        <f>ROUND(H6+I6,4)</f>
        <v/>
      </c>
      <c r="K6" s="6" t="inlineStr">
        <is>
          <t>ref</t>
        </is>
      </c>
      <c r="L6" s="6" t="inlineStr">
        <is>
          <t>400/500</t>
        </is>
      </c>
      <c r="M6" s="6" t="inlineStr">
        <is>
          <t>~150</t>
        </is>
      </c>
    </row>
    <row r="7">
      <c r="A7" s="6" t="n">
        <v>3</v>
      </c>
      <c r="B7" s="6" t="inlineStr">
        <is>
          <t>Turkiye - Georgie</t>
        </is>
      </c>
      <c r="C7" s="6" t="inlineStr">
        <is>
          <t>Hopa / Muratlı - Batumi (Achara line)</t>
        </is>
      </c>
      <c r="D7" s="6" t="inlineStr">
        <is>
          <t>Existante</t>
        </is>
      </c>
      <c r="E7" s="6" t="n">
        <v>220</v>
      </c>
      <c r="F7" s="6" t="n">
        <v>40</v>
      </c>
      <c r="G7" s="6" t="inlineStr">
        <is>
          <t>AC</t>
        </is>
      </c>
      <c r="H7" s="12">
        <f>IF(G7="HVDC_line",Parametres!$B$27*F7/1000,VLOOKUP(E7,Parametres!$A$13:$B$19,2,FALSE)*F7/100)</f>
        <v/>
      </c>
      <c r="I7" s="12">
        <f>IF(G7="HVDC_line",Parametres!$B$26,Parametres!$B$24+IF(G7="HVDC_B2B",Parametres!$B$25,0))</f>
        <v/>
      </c>
      <c r="J7" s="13">
        <f>ROUND(H7+I7,4)</f>
        <v/>
      </c>
      <c r="K7" s="6" t="inlineStr">
        <is>
          <t>ref</t>
        </is>
      </c>
      <c r="L7" s="6" t="inlineStr">
        <is>
          <t>220</t>
        </is>
      </c>
      <c r="M7" s="6" t="inlineStr">
        <is>
          <t>~40</t>
        </is>
      </c>
    </row>
    <row r="8">
      <c r="A8" s="6" t="n">
        <v>4</v>
      </c>
      <c r="B8" s="6" t="inlineStr">
        <is>
          <t>Turkiye - Grece</t>
        </is>
      </c>
      <c r="C8" s="6" t="inlineStr">
        <is>
          <t>Babaeski - Nea Santa</t>
        </is>
      </c>
      <c r="D8" s="6" t="inlineStr">
        <is>
          <t>Existante</t>
        </is>
      </c>
      <c r="E8" s="6" t="n">
        <v>400</v>
      </c>
      <c r="F8" s="6" t="n">
        <v>205</v>
      </c>
      <c r="G8" s="6" t="inlineStr">
        <is>
          <t>AC</t>
        </is>
      </c>
      <c r="H8" s="12">
        <f>IF(G8="HVDC_line",Parametres!$B$27*F8/1000,VLOOKUP(E8,Parametres!$A$13:$B$19,2,FALSE)*F8/100)</f>
        <v/>
      </c>
      <c r="I8" s="12">
        <f>IF(G8="HVDC_line",Parametres!$B$26,Parametres!$B$24+IF(G8="HVDC_B2B",Parametres!$B$25,0))</f>
        <v/>
      </c>
      <c r="J8" s="13">
        <f>ROUND(H8+I8,4)</f>
        <v/>
      </c>
      <c r="K8" s="6" t="inlineStr">
        <is>
          <t>ref</t>
        </is>
      </c>
      <c r="L8" s="6" t="inlineStr">
        <is>
          <t>400</t>
        </is>
      </c>
      <c r="M8" s="6" t="inlineStr">
        <is>
          <t>~205</t>
        </is>
      </c>
    </row>
    <row r="9">
      <c r="A9" s="6" t="n">
        <v>5</v>
      </c>
      <c r="B9" s="6" t="inlineStr">
        <is>
          <t>Turkiye - Iran</t>
        </is>
      </c>
      <c r="C9" s="6" t="inlineStr">
        <is>
          <t>Van (B2B converter) - Khoy</t>
        </is>
      </c>
      <c r="D9" s="6" t="inlineStr">
        <is>
          <t>Existante</t>
        </is>
      </c>
      <c r="E9" s="6" t="n">
        <v>400</v>
      </c>
      <c r="F9" s="6" t="n">
        <v>115</v>
      </c>
      <c r="G9" s="6" t="inlineStr">
        <is>
          <t>HVDC_B2B</t>
        </is>
      </c>
      <c r="H9" s="12">
        <f>IF(G9="HVDC_line",Parametres!$B$27*F9/1000,VLOOKUP(E9,Parametres!$A$13:$B$19,2,FALSE)*F9/100)</f>
        <v/>
      </c>
      <c r="I9" s="12">
        <f>IF(G9="HVDC_line",Parametres!$B$26,Parametres!$B$24+IF(G9="HVDC_B2B",Parametres!$B$25,0))</f>
        <v/>
      </c>
      <c r="J9" s="13">
        <f>ROUND(H9+I9,4)</f>
        <v/>
      </c>
      <c r="K9" s="6" t="inlineStr">
        <is>
          <t>ref</t>
        </is>
      </c>
      <c r="L9" s="6" t="inlineStr">
        <is>
          <t>400</t>
        </is>
      </c>
      <c r="M9" s="6" t="inlineStr">
        <is>
          <t>~115</t>
        </is>
      </c>
    </row>
    <row r="10">
      <c r="A10" s="6" t="n">
        <v>6</v>
      </c>
      <c r="B10" s="6" t="inlineStr">
        <is>
          <t>Turkiye - Irak</t>
        </is>
      </c>
      <c r="C10" s="6" t="inlineStr">
        <is>
          <t>Silopi - Mosul (West)</t>
        </is>
      </c>
      <c r="D10" s="6" t="inlineStr">
        <is>
          <t>Existante</t>
        </is>
      </c>
      <c r="E10" s="6" t="n">
        <v>400</v>
      </c>
      <c r="F10" s="6" t="n">
        <v>115</v>
      </c>
      <c r="G10" s="6" t="inlineStr">
        <is>
          <t>AC</t>
        </is>
      </c>
      <c r="H10" s="12">
        <f>IF(G10="HVDC_line",Parametres!$B$27*F10/1000,VLOOKUP(E10,Parametres!$A$13:$B$19,2,FALSE)*F10/100)</f>
        <v/>
      </c>
      <c r="I10" s="12">
        <f>IF(G10="HVDC_line",Parametres!$B$26,Parametres!$B$24+IF(G10="HVDC_B2B",Parametres!$B$25,0))</f>
        <v/>
      </c>
      <c r="J10" s="13">
        <f>ROUND(H10+I10,4)</f>
        <v/>
      </c>
      <c r="K10" s="6" t="inlineStr">
        <is>
          <t>ref</t>
        </is>
      </c>
      <c r="L10" s="6" t="inlineStr">
        <is>
          <t>400</t>
        </is>
      </c>
      <c r="M10" s="6" t="inlineStr">
        <is>
          <t>115</t>
        </is>
      </c>
    </row>
    <row r="11">
      <c r="A11" s="6" t="n">
        <v>7</v>
      </c>
      <c r="B11" s="6" t="inlineStr">
        <is>
          <t>Turkiye - Syrie</t>
        </is>
      </c>
      <c r="C11" s="6" t="inlineStr">
        <is>
          <t>Birecik HPP + 7 other crossings - Aleppo region</t>
        </is>
      </c>
      <c r="D11" s="6" t="inlineStr">
        <is>
          <t>Existante</t>
        </is>
      </c>
      <c r="E11" s="6" t="n">
        <v>400</v>
      </c>
      <c r="F11" s="6" t="n">
        <v>150</v>
      </c>
      <c r="G11" s="6" t="inlineStr">
        <is>
          <t>AC</t>
        </is>
      </c>
      <c r="H11" s="12">
        <f>IF(G11="HVDC_line",Parametres!$B$27*F11/1000,VLOOKUP(E11,Parametres!$A$13:$B$19,2,FALSE)*F11/100)</f>
        <v/>
      </c>
      <c r="I11" s="12">
        <f>IF(G11="HVDC_line",Parametres!$B$26,Parametres!$B$24+IF(G11="HVDC_B2B",Parametres!$B$25,0))</f>
        <v/>
      </c>
      <c r="J11" s="13">
        <f>ROUND(H11+I11,4)</f>
        <v/>
      </c>
      <c r="K11" s="6" t="inlineStr">
        <is>
          <t>estime</t>
        </is>
      </c>
      <c r="L11" s="6" t="inlineStr">
        <is>
          <t>400 + lower</t>
        </is>
      </c>
      <c r="M11" s="6" t="inlineStr">
        <is>
          <t>Various</t>
        </is>
      </c>
    </row>
    <row r="12">
      <c r="A12" s="6" t="n">
        <v>8</v>
      </c>
      <c r="B12" s="6" t="inlineStr">
        <is>
          <t>Turkiye - Syrie</t>
        </is>
      </c>
      <c r="C12" s="6" t="inlineStr">
        <is>
          <t>WB Syria Electricity Emergency Project</t>
        </is>
      </c>
      <c r="D12" s="6" t="inlineStr">
        <is>
          <t>Engagee</t>
        </is>
      </c>
      <c r="E12" s="6" t="n">
        <v>400</v>
      </c>
      <c r="F12" s="6" t="n">
        <v>120</v>
      </c>
      <c r="G12" s="6" t="inlineStr">
        <is>
          <t>AC</t>
        </is>
      </c>
      <c r="H12" s="12">
        <f>IF(G12="HVDC_line",Parametres!$B$27*F12/1000,VLOOKUP(E12,Parametres!$A$13:$B$19,2,FALSE)*F12/100)</f>
        <v/>
      </c>
      <c r="I12" s="12">
        <f>IF(G12="HVDC_line",Parametres!$B$26,Parametres!$B$24+IF(G12="HVDC_B2B",Parametres!$B$25,0))</f>
        <v/>
      </c>
      <c r="J12" s="13">
        <f>ROUND(H12+I12,4)</f>
        <v/>
      </c>
      <c r="K12" s="6" t="inlineStr">
        <is>
          <t>estime</t>
        </is>
      </c>
      <c r="L12" s="6" t="inlineStr">
        <is>
          <t>400</t>
        </is>
      </c>
      <c r="M12" s="6" t="inlineStr">
        <is>
          <t>TBD</t>
        </is>
      </c>
    </row>
    <row r="13">
      <c r="A13" s="6" t="n">
        <v>9</v>
      </c>
      <c r="B13" s="6" t="inlineStr">
        <is>
          <t>Turkiye - Bulgarie</t>
        </is>
      </c>
      <c r="C13" s="6" t="inlineStr">
        <is>
          <t>EWTC</t>
        </is>
      </c>
      <c r="D13" s="6" t="inlineStr">
        <is>
          <t>Candidate</t>
        </is>
      </c>
      <c r="E13" s="6" t="n">
        <v>400</v>
      </c>
      <c r="F13" s="6" t="n">
        <v>190</v>
      </c>
      <c r="G13" s="6" t="inlineStr">
        <is>
          <t>AC</t>
        </is>
      </c>
      <c r="H13" s="12">
        <f>IF(G13="HVDC_line",Parametres!$B$27*F13/1000,VLOOKUP(E13,Parametres!$A$13:$B$19,2,FALSE)*F13/100)</f>
        <v/>
      </c>
      <c r="I13" s="12">
        <f>IF(G13="HVDC_line",Parametres!$B$26,Parametres!$B$24+IF(G13="HVDC_B2B",Parametres!$B$25,0))</f>
        <v/>
      </c>
      <c r="J13" s="13">
        <f>ROUND(H13+I13,4)</f>
        <v/>
      </c>
      <c r="K13" s="6" t="inlineStr">
        <is>
          <t>ref</t>
        </is>
      </c>
      <c r="L13" s="6" t="inlineStr">
        <is>
          <t>400</t>
        </is>
      </c>
      <c r="M13" s="6" t="inlineStr">
        <is>
          <t>~190</t>
        </is>
      </c>
    </row>
    <row r="14">
      <c r="A14" s="6" t="n">
        <v>10</v>
      </c>
      <c r="B14" s="6" t="inlineStr">
        <is>
          <t>Turkiye - Georgie</t>
        </is>
      </c>
      <c r="C14" s="6" t="inlineStr">
        <is>
          <t>BSTN Extension</t>
        </is>
      </c>
      <c r="D14" s="6" t="inlineStr">
        <is>
          <t>Candidate</t>
        </is>
      </c>
      <c r="E14" s="6" t="n">
        <v>400</v>
      </c>
      <c r="F14" s="6" t="n">
        <v>80</v>
      </c>
      <c r="G14" s="6" t="inlineStr">
        <is>
          <t>HVDC_B2B</t>
        </is>
      </c>
      <c r="H14" s="12">
        <f>IF(G14="HVDC_line",Parametres!$B$27*F14/1000,VLOOKUP(E14,Parametres!$A$13:$B$19,2,FALSE)*F14/100)</f>
        <v/>
      </c>
      <c r="I14" s="12">
        <f>IF(G14="HVDC_line",Parametres!$B$26,Parametres!$B$24+IF(G14="HVDC_B2B",Parametres!$B$25,0))</f>
        <v/>
      </c>
      <c r="J14" s="13">
        <f>ROUND(H14+I14,4)</f>
        <v/>
      </c>
      <c r="K14" s="6" t="inlineStr">
        <is>
          <t>ref</t>
        </is>
      </c>
      <c r="L14" s="6" t="inlineStr">
        <is>
          <t>400</t>
        </is>
      </c>
      <c r="M14" s="6" t="inlineStr">
        <is>
          <t>~80</t>
        </is>
      </c>
    </row>
    <row r="15">
      <c r="A15" s="6" t="n">
        <v>11</v>
      </c>
      <c r="B15" s="6" t="inlineStr">
        <is>
          <t>Turkiye - Grece</t>
        </is>
      </c>
      <c r="C15" s="6" t="inlineStr">
        <is>
          <t>EWTC</t>
        </is>
      </c>
      <c r="D15" s="6" t="inlineStr">
        <is>
          <t>Candidate</t>
        </is>
      </c>
      <c r="E15" s="6" t="n">
        <v>400</v>
      </c>
      <c r="F15" s="6" t="n">
        <v>130</v>
      </c>
      <c r="G15" s="6" t="inlineStr">
        <is>
          <t>AC</t>
        </is>
      </c>
      <c r="H15" s="12">
        <f>IF(G15="HVDC_line",Parametres!$B$27*F15/1000,VLOOKUP(E15,Parametres!$A$13:$B$19,2,FALSE)*F15/100)</f>
        <v/>
      </c>
      <c r="I15" s="12">
        <f>IF(G15="HVDC_line",Parametres!$B$26,Parametres!$B$24+IF(G15="HVDC_B2B",Parametres!$B$25,0))</f>
        <v/>
      </c>
      <c r="J15" s="13">
        <f>ROUND(H15+I15,4)</f>
        <v/>
      </c>
      <c r="K15" s="6" t="inlineStr">
        <is>
          <t>ref</t>
        </is>
      </c>
      <c r="L15" s="6" t="inlineStr">
        <is>
          <t>400</t>
        </is>
      </c>
      <c r="M15" s="6" t="inlineStr">
        <is>
          <t>~130</t>
        </is>
      </c>
    </row>
    <row r="16">
      <c r="A16" s="6" t="n">
        <v>12</v>
      </c>
      <c r="B16" s="6" t="inlineStr">
        <is>
          <t>Roumanie - Bulgarie</t>
        </is>
      </c>
      <c r="C16" s="6" t="inlineStr">
        <is>
          <t>Medgidia South - Varna</t>
        </is>
      </c>
      <c r="D16" s="6" t="inlineStr">
        <is>
          <t>Existante</t>
        </is>
      </c>
      <c r="E16" s="6" t="n">
        <v>400</v>
      </c>
      <c r="F16" s="6" t="n">
        <v>150</v>
      </c>
      <c r="G16" s="6" t="inlineStr">
        <is>
          <t>AC</t>
        </is>
      </c>
      <c r="H16" s="12">
        <f>IF(G16="HVDC_line",Parametres!$B$27*F16/1000,VLOOKUP(E16,Parametres!$A$13:$B$19,2,FALSE)*F16/100)</f>
        <v/>
      </c>
      <c r="I16" s="12">
        <f>IF(G16="HVDC_line",Parametres!$B$26,Parametres!$B$24+IF(G16="HVDC_B2B",Parametres!$B$25,0))</f>
        <v/>
      </c>
      <c r="J16" s="13">
        <f>ROUND(H16+I16,4)</f>
        <v/>
      </c>
      <c r="K16" s="6" t="inlineStr">
        <is>
          <t>ref</t>
        </is>
      </c>
      <c r="L16" s="6" t="inlineStr">
        <is>
          <t>400</t>
        </is>
      </c>
      <c r="M16" s="6" t="inlineStr">
        <is>
          <t>~150</t>
        </is>
      </c>
    </row>
    <row r="17">
      <c r="A17" s="6" t="n">
        <v>13</v>
      </c>
      <c r="B17" s="6" t="inlineStr">
        <is>
          <t>Roumanie - Bulgarie</t>
        </is>
      </c>
      <c r="C17" s="6" t="inlineStr">
        <is>
          <t>Medgidia South - Dobrudja</t>
        </is>
      </c>
      <c r="D17" s="6" t="inlineStr">
        <is>
          <t>Existante</t>
        </is>
      </c>
      <c r="E17" s="6" t="n">
        <v>400</v>
      </c>
      <c r="F17" s="6" t="n">
        <v>120</v>
      </c>
      <c r="G17" s="6" t="inlineStr">
        <is>
          <t>AC</t>
        </is>
      </c>
      <c r="H17" s="12">
        <f>IF(G17="HVDC_line",Parametres!$B$27*F17/1000,VLOOKUP(E17,Parametres!$A$13:$B$19,2,FALSE)*F17/100)</f>
        <v/>
      </c>
      <c r="I17" s="12">
        <f>IF(G17="HVDC_line",Parametres!$B$26,Parametres!$B$24+IF(G17="HVDC_B2B",Parametres!$B$25,0))</f>
        <v/>
      </c>
      <c r="J17" s="13">
        <f>ROUND(H17+I17,4)</f>
        <v/>
      </c>
      <c r="K17" s="6" t="inlineStr">
        <is>
          <t>ref</t>
        </is>
      </c>
      <c r="L17" s="6" t="inlineStr">
        <is>
          <t>400</t>
        </is>
      </c>
      <c r="M17" s="6" t="inlineStr">
        <is>
          <t>~120</t>
        </is>
      </c>
    </row>
    <row r="18">
      <c r="A18" s="6" t="n">
        <v>14</v>
      </c>
      <c r="B18" s="6" t="inlineStr">
        <is>
          <t>Roumanie - Bulgarie</t>
        </is>
      </c>
      <c r="C18" s="6" t="inlineStr">
        <is>
          <t>Țânțăreni - Kozloduy</t>
        </is>
      </c>
      <c r="D18" s="6" t="inlineStr">
        <is>
          <t>Existante</t>
        </is>
      </c>
      <c r="E18" s="6" t="n">
        <v>400</v>
      </c>
      <c r="F18" s="6" t="n">
        <v>120</v>
      </c>
      <c r="G18" s="6" t="inlineStr">
        <is>
          <t>AC</t>
        </is>
      </c>
      <c r="H18" s="12">
        <f>IF(G18="HVDC_line",Parametres!$B$27*F18/1000,VLOOKUP(E18,Parametres!$A$13:$B$19,2,FALSE)*F18/100)</f>
        <v/>
      </c>
      <c r="I18" s="12">
        <f>IF(G18="HVDC_line",Parametres!$B$26,Parametres!$B$24+IF(G18="HVDC_B2B",Parametres!$B$25,0))</f>
        <v/>
      </c>
      <c r="J18" s="13">
        <f>ROUND(H18+I18,4)</f>
        <v/>
      </c>
      <c r="K18" s="6" t="inlineStr">
        <is>
          <t>ref</t>
        </is>
      </c>
      <c r="L18" s="6" t="inlineStr">
        <is>
          <t>400</t>
        </is>
      </c>
      <c r="M18" s="6" t="inlineStr">
        <is>
          <t>~120</t>
        </is>
      </c>
    </row>
    <row r="19">
      <c r="A19" s="6" t="n">
        <v>15</v>
      </c>
      <c r="B19" s="6" t="inlineStr">
        <is>
          <t>Roumanie - Serbie</t>
        </is>
      </c>
      <c r="C19" s="6" t="inlineStr">
        <is>
          <t>Porțile de Fier (Iron Gates) - Đerdap</t>
        </is>
      </c>
      <c r="D19" s="6" t="inlineStr">
        <is>
          <t>Existante</t>
        </is>
      </c>
      <c r="E19" s="6" t="n">
        <v>400</v>
      </c>
      <c r="F19" s="6" t="n">
        <v>100</v>
      </c>
      <c r="G19" s="6" t="inlineStr">
        <is>
          <t>AC</t>
        </is>
      </c>
      <c r="H19" s="12">
        <f>IF(G19="HVDC_line",Parametres!$B$27*F19/1000,VLOOKUP(E19,Parametres!$A$13:$B$19,2,FALSE)*F19/100)</f>
        <v/>
      </c>
      <c r="I19" s="12">
        <f>IF(G19="HVDC_line",Parametres!$B$26,Parametres!$B$24+IF(G19="HVDC_B2B",Parametres!$B$25,0))</f>
        <v/>
      </c>
      <c r="J19" s="13">
        <f>ROUND(H19+I19,4)</f>
        <v/>
      </c>
      <c r="K19" s="6" t="inlineStr">
        <is>
          <t>estime</t>
        </is>
      </c>
      <c r="L19" s="6" t="inlineStr">
        <is>
          <t>400</t>
        </is>
      </c>
      <c r="M19" s="6" t="inlineStr">
        <is>
          <t>—</t>
        </is>
      </c>
    </row>
    <row r="20">
      <c r="A20" s="6" t="n">
        <v>16</v>
      </c>
      <c r="B20" s="6" t="inlineStr">
        <is>
          <t>Roumanie - Serbie</t>
        </is>
      </c>
      <c r="C20" s="6" t="inlineStr">
        <is>
          <t>Mid Continental East Corridor (PCI)</t>
        </is>
      </c>
      <c r="D20" s="6" t="inlineStr">
        <is>
          <t>Existante</t>
        </is>
      </c>
      <c r="E20" s="6" t="n">
        <v>400</v>
      </c>
      <c r="F20" s="6" t="n">
        <v>131</v>
      </c>
      <c r="G20" s="6" t="inlineStr">
        <is>
          <t>AC</t>
        </is>
      </c>
      <c r="H20" s="12">
        <f>IF(G20="HVDC_line",Parametres!$B$27*F20/1000,VLOOKUP(E20,Parametres!$A$13:$B$19,2,FALSE)*F20/100)</f>
        <v/>
      </c>
      <c r="I20" s="12">
        <f>IF(G20="HVDC_line",Parametres!$B$26,Parametres!$B$24+IF(G20="HVDC_B2B",Parametres!$B$25,0))</f>
        <v/>
      </c>
      <c r="J20" s="13">
        <f>ROUND(H20+I20,4)</f>
        <v/>
      </c>
      <c r="K20" s="6" t="inlineStr">
        <is>
          <t>ref</t>
        </is>
      </c>
      <c r="L20" s="6" t="inlineStr">
        <is>
          <t>400</t>
        </is>
      </c>
      <c r="M20" s="6" t="inlineStr">
        <is>
          <t>131 (63 in RO)</t>
        </is>
      </c>
    </row>
    <row r="21">
      <c r="A21" s="6" t="n">
        <v>17</v>
      </c>
      <c r="B21" s="6" t="inlineStr">
        <is>
          <t>Roumanie - Hongrie</t>
        </is>
      </c>
      <c r="C21" s="6" t="inlineStr">
        <is>
          <t>Arad - Sándorfalva</t>
        </is>
      </c>
      <c r="D21" s="6" t="inlineStr">
        <is>
          <t>Existante</t>
        </is>
      </c>
      <c r="E21" s="6" t="n">
        <v>400</v>
      </c>
      <c r="F21" s="6" t="n">
        <v>120</v>
      </c>
      <c r="G21" s="6" t="inlineStr">
        <is>
          <t>AC</t>
        </is>
      </c>
      <c r="H21" s="12">
        <f>IF(G21="HVDC_line",Parametres!$B$27*F21/1000,VLOOKUP(E21,Parametres!$A$13:$B$19,2,FALSE)*F21/100)</f>
        <v/>
      </c>
      <c r="I21" s="12">
        <f>IF(G21="HVDC_line",Parametres!$B$26,Parametres!$B$24+IF(G21="HVDC_B2B",Parametres!$B$25,0))</f>
        <v/>
      </c>
      <c r="J21" s="13">
        <f>ROUND(H21+I21,4)</f>
        <v/>
      </c>
      <c r="K21" s="6" t="inlineStr">
        <is>
          <t>ref</t>
        </is>
      </c>
      <c r="L21" s="6" t="inlineStr">
        <is>
          <t>400</t>
        </is>
      </c>
      <c r="M21" s="6" t="inlineStr">
        <is>
          <t>~120</t>
        </is>
      </c>
    </row>
    <row r="22">
      <c r="A22" s="6" t="n">
        <v>18</v>
      </c>
      <c r="B22" s="6" t="inlineStr">
        <is>
          <t>Roumanie - Hongrie</t>
        </is>
      </c>
      <c r="C22" s="6" t="inlineStr">
        <is>
          <t>Nădab - Békéscsaba</t>
        </is>
      </c>
      <c r="D22" s="6" t="inlineStr">
        <is>
          <t>Existante</t>
        </is>
      </c>
      <c r="E22" s="6" t="n">
        <v>400</v>
      </c>
      <c r="F22" s="6" t="n">
        <v>60</v>
      </c>
      <c r="G22" s="6" t="inlineStr">
        <is>
          <t>AC</t>
        </is>
      </c>
      <c r="H22" s="12">
        <f>IF(G22="HVDC_line",Parametres!$B$27*F22/1000,VLOOKUP(E22,Parametres!$A$13:$B$19,2,FALSE)*F22/100)</f>
        <v/>
      </c>
      <c r="I22" s="12">
        <f>IF(G22="HVDC_line",Parametres!$B$26,Parametres!$B$24+IF(G22="HVDC_B2B",Parametres!$B$25,0))</f>
        <v/>
      </c>
      <c r="J22" s="13">
        <f>ROUND(H22+I22,4)</f>
        <v/>
      </c>
      <c r="K22" s="6" t="inlineStr">
        <is>
          <t>ref</t>
        </is>
      </c>
      <c r="L22" s="6" t="inlineStr">
        <is>
          <t>400</t>
        </is>
      </c>
      <c r="M22" s="6" t="inlineStr">
        <is>
          <t>60 (22 in RO)</t>
        </is>
      </c>
    </row>
    <row r="23">
      <c r="A23" s="6" t="n">
        <v>19</v>
      </c>
      <c r="B23" s="6" t="inlineStr">
        <is>
          <t>Roumanie - Ukraine</t>
        </is>
      </c>
      <c r="C23" s="6" t="inlineStr">
        <is>
          <t>Isaccea - Pivdennoukrainsk NPP (750 kV)</t>
        </is>
      </c>
      <c r="D23" s="6" t="inlineStr">
        <is>
          <t>Existante</t>
        </is>
      </c>
      <c r="E23" s="6" t="n">
        <v>750</v>
      </c>
      <c r="F23" s="6" t="n">
        <v>280</v>
      </c>
      <c r="G23" s="6" t="inlineStr">
        <is>
          <t>AC</t>
        </is>
      </c>
      <c r="H23" s="12">
        <f>IF(G23="HVDC_line",Parametres!$B$27*F23/1000,VLOOKUP(E23,Parametres!$A$13:$B$19,2,FALSE)*F23/100)</f>
        <v/>
      </c>
      <c r="I23" s="12">
        <f>IF(G23="HVDC_line",Parametres!$B$26,Parametres!$B$24+IF(G23="HVDC_B2B",Parametres!$B$25,0))</f>
        <v/>
      </c>
      <c r="J23" s="13">
        <f>ROUND(H23+I23,4)</f>
        <v/>
      </c>
      <c r="K23" s="6" t="inlineStr">
        <is>
          <t>ref</t>
        </is>
      </c>
      <c r="L23" s="6" t="inlineStr">
        <is>
          <t>750</t>
        </is>
      </c>
      <c r="M23" s="6" t="inlineStr">
        <is>
          <t>~280</t>
        </is>
      </c>
    </row>
    <row r="24">
      <c r="A24" s="6" t="n">
        <v>20</v>
      </c>
      <c r="B24" s="6" t="inlineStr">
        <is>
          <t>Roumanie - Ukraine</t>
        </is>
      </c>
      <c r="C24" s="6" t="inlineStr">
        <is>
          <t>Several lower-voltage crossings (Suceava, Maramureș) - Sev</t>
        </is>
      </c>
      <c r="D24" s="6" t="inlineStr">
        <is>
          <t>Existante</t>
        </is>
      </c>
      <c r="E24" s="6" t="n">
        <v>220</v>
      </c>
      <c r="F24" s="6" t="n">
        <v>80</v>
      </c>
      <c r="G24" s="6" t="inlineStr">
        <is>
          <t>AC</t>
        </is>
      </c>
      <c r="H24" s="12">
        <f>IF(G24="HVDC_line",Parametres!$B$27*F24/1000,VLOOKUP(E24,Parametres!$A$13:$B$19,2,FALSE)*F24/100)</f>
        <v/>
      </c>
      <c r="I24" s="12">
        <f>IF(G24="HVDC_line",Parametres!$B$26,Parametres!$B$24+IF(G24="HVDC_B2B",Parametres!$B$25,0))</f>
        <v/>
      </c>
      <c r="J24" s="13">
        <f>ROUND(H24+I24,4)</f>
        <v/>
      </c>
      <c r="K24" s="6" t="inlineStr">
        <is>
          <t>estime</t>
        </is>
      </c>
      <c r="L24" s="6" t="inlineStr">
        <is>
          <t>110 / 220</t>
        </is>
      </c>
      <c r="M24" s="6" t="inlineStr">
        <is>
          <t>—</t>
        </is>
      </c>
    </row>
    <row r="25">
      <c r="A25" s="6" t="n">
        <v>21</v>
      </c>
      <c r="B25" s="6" t="inlineStr">
        <is>
          <t>Roumanie - Moldavie</t>
        </is>
      </c>
      <c r="C25" s="6" t="inlineStr">
        <is>
          <t>Isaccea - Vulcăneşti</t>
        </is>
      </c>
      <c r="D25" s="6" t="inlineStr">
        <is>
          <t>Existante</t>
        </is>
      </c>
      <c r="E25" s="6" t="n">
        <v>400</v>
      </c>
      <c r="F25" s="6" t="n">
        <v>140</v>
      </c>
      <c r="G25" s="6" t="inlineStr">
        <is>
          <t>AC</t>
        </is>
      </c>
      <c r="H25" s="12">
        <f>IF(G25="HVDC_line",Parametres!$B$27*F25/1000,VLOOKUP(E25,Parametres!$A$13:$B$19,2,FALSE)*F25/100)</f>
        <v/>
      </c>
      <c r="I25" s="12">
        <f>IF(G25="HVDC_line",Parametres!$B$26,Parametres!$B$24+IF(G25="HVDC_B2B",Parametres!$B$25,0))</f>
        <v/>
      </c>
      <c r="J25" s="13">
        <f>ROUND(H25+I25,4)</f>
        <v/>
      </c>
      <c r="K25" s="6" t="inlineStr">
        <is>
          <t>ref</t>
        </is>
      </c>
      <c r="L25" s="6" t="inlineStr">
        <is>
          <t>400</t>
        </is>
      </c>
      <c r="M25" s="6" t="inlineStr">
        <is>
          <t>~140</t>
        </is>
      </c>
    </row>
    <row r="26">
      <c r="A26" s="6" t="n">
        <v>22</v>
      </c>
      <c r="B26" s="6" t="inlineStr">
        <is>
          <t>Roumanie - Moldavie</t>
        </is>
      </c>
      <c r="C26" s="6" t="inlineStr">
        <is>
          <t>Romania-Moldova Phase I</t>
        </is>
      </c>
      <c r="D26" s="6" t="inlineStr">
        <is>
          <t>Engagee</t>
        </is>
      </c>
      <c r="E26" s="6" t="n">
        <v>400</v>
      </c>
      <c r="F26" s="6" t="n">
        <v>157</v>
      </c>
      <c r="G26" s="6" t="inlineStr">
        <is>
          <t>AC</t>
        </is>
      </c>
      <c r="H26" s="12">
        <f>IF(G26="HVDC_line",Parametres!$B$27*F26/1000,VLOOKUP(E26,Parametres!$A$13:$B$19,2,FALSE)*F26/100)</f>
        <v/>
      </c>
      <c r="I26" s="12">
        <f>IF(G26="HVDC_line",Parametres!$B$26,Parametres!$B$24+IF(G26="HVDC_B2B",Parametres!$B$25,0))</f>
        <v/>
      </c>
      <c r="J26" s="13">
        <f>ROUND(H26+I26,4)</f>
        <v/>
      </c>
      <c r="K26" s="6" t="inlineStr">
        <is>
          <t>ref</t>
        </is>
      </c>
      <c r="L26" s="6" t="inlineStr">
        <is>
          <t>400</t>
        </is>
      </c>
      <c r="M26" s="6" t="inlineStr">
        <is>
          <t>157</t>
        </is>
      </c>
    </row>
    <row r="27">
      <c r="A27" s="6" t="n">
        <v>23</v>
      </c>
      <c r="B27" s="6" t="inlineStr">
        <is>
          <t>Roumanie - Serbie</t>
        </is>
      </c>
      <c r="C27" s="6" t="inlineStr">
        <is>
          <t>Mid Continental East Corridor (PCI)</t>
        </is>
      </c>
      <c r="D27" s="6" t="inlineStr">
        <is>
          <t>Candidate</t>
        </is>
      </c>
      <c r="E27" s="6" t="n">
        <v>400</v>
      </c>
      <c r="F27" s="6" t="n">
        <v>131</v>
      </c>
      <c r="G27" s="6" t="inlineStr">
        <is>
          <t>AC</t>
        </is>
      </c>
      <c r="H27" s="12">
        <f>IF(G27="HVDC_line",Parametres!$B$27*F27/1000,VLOOKUP(E27,Parametres!$A$13:$B$19,2,FALSE)*F27/100)</f>
        <v/>
      </c>
      <c r="I27" s="12">
        <f>IF(G27="HVDC_line",Parametres!$B$26,Parametres!$B$24+IF(G27="HVDC_B2B",Parametres!$B$25,0))</f>
        <v/>
      </c>
      <c r="J27" s="13">
        <f>ROUND(H27+I27,4)</f>
        <v/>
      </c>
      <c r="K27" s="6" t="inlineStr">
        <is>
          <t>ref</t>
        </is>
      </c>
      <c r="L27" s="6" t="inlineStr">
        <is>
          <t>400</t>
        </is>
      </c>
      <c r="M27" s="6" t="inlineStr">
        <is>
          <t>131</t>
        </is>
      </c>
    </row>
    <row r="28">
      <c r="A28" s="6" t="n">
        <v>24</v>
      </c>
      <c r="B28" s="6" t="inlineStr">
        <is>
          <t>Roumanie - Hongrie</t>
        </is>
      </c>
      <c r="C28" s="6" t="inlineStr">
        <is>
          <t>Oradea - Józsa</t>
        </is>
      </c>
      <c r="D28" s="6" t="inlineStr">
        <is>
          <t>Candidate</t>
        </is>
      </c>
      <c r="E28" s="6" t="n">
        <v>400</v>
      </c>
      <c r="F28" s="6" t="n">
        <v>120</v>
      </c>
      <c r="G28" s="6" t="inlineStr">
        <is>
          <t>AC</t>
        </is>
      </c>
      <c r="H28" s="12">
        <f>IF(G28="HVDC_line",Parametres!$B$27*F28/1000,VLOOKUP(E28,Parametres!$A$13:$B$19,2,FALSE)*F28/100)</f>
        <v/>
      </c>
      <c r="I28" s="12">
        <f>IF(G28="HVDC_line",Parametres!$B$26,Parametres!$B$24+IF(G28="HVDC_B2B",Parametres!$B$25,0))</f>
        <v/>
      </c>
      <c r="J28" s="13">
        <f>ROUND(H28+I28,4)</f>
        <v/>
      </c>
      <c r="K28" s="6" t="inlineStr">
        <is>
          <t>estime</t>
        </is>
      </c>
      <c r="L28" s="6" t="inlineStr">
        <is>
          <t>400</t>
        </is>
      </c>
      <c r="M28" s="6" t="inlineStr">
        <is>
          <t>TBD</t>
        </is>
      </c>
    </row>
    <row r="29">
      <c r="A29" s="6" t="n">
        <v>25</v>
      </c>
      <c r="B29" s="6" t="inlineStr">
        <is>
          <t>Roumanie - Ukraine</t>
        </is>
      </c>
      <c r="C29" s="6" t="inlineStr">
        <is>
          <t>Suceava - Chernivtsi</t>
        </is>
      </c>
      <c r="D29" s="6" t="inlineStr">
        <is>
          <t>Candidate</t>
        </is>
      </c>
      <c r="E29" s="6" t="n">
        <v>400</v>
      </c>
      <c r="F29" s="6" t="n">
        <v>100</v>
      </c>
      <c r="G29" s="6" t="inlineStr">
        <is>
          <t>AC</t>
        </is>
      </c>
      <c r="H29" s="12">
        <f>IF(G29="HVDC_line",Parametres!$B$27*F29/1000,VLOOKUP(E29,Parametres!$A$13:$B$19,2,FALSE)*F29/100)</f>
        <v/>
      </c>
      <c r="I29" s="12">
        <f>IF(G29="HVDC_line",Parametres!$B$26,Parametres!$B$24+IF(G29="HVDC_B2B",Parametres!$B$25,0))</f>
        <v/>
      </c>
      <c r="J29" s="13">
        <f>ROUND(H29+I29,4)</f>
        <v/>
      </c>
      <c r="K29" s="6" t="inlineStr">
        <is>
          <t>estime</t>
        </is>
      </c>
      <c r="L29" s="6" t="inlineStr">
        <is>
          <t>400</t>
        </is>
      </c>
      <c r="M29" s="6" t="inlineStr">
        <is>
          <t>TBD</t>
        </is>
      </c>
    </row>
    <row r="30">
      <c r="A30" s="6" t="n">
        <v>26</v>
      </c>
      <c r="B30" s="6" t="inlineStr">
        <is>
          <t>Roumanie - Moldavie</t>
        </is>
      </c>
      <c r="C30" s="6" t="inlineStr">
        <is>
          <t>Romania-Moldova Phase II</t>
        </is>
      </c>
      <c r="D30" s="6" t="inlineStr">
        <is>
          <t>Candidate</t>
        </is>
      </c>
      <c r="E30" s="6" t="n">
        <v>400</v>
      </c>
      <c r="F30" s="6" t="n">
        <v>120</v>
      </c>
      <c r="G30" s="6" t="inlineStr">
        <is>
          <t>AC</t>
        </is>
      </c>
      <c r="H30" s="12">
        <f>IF(G30="HVDC_line",Parametres!$B$27*F30/1000,VLOOKUP(E30,Parametres!$A$13:$B$19,2,FALSE)*F30/100)</f>
        <v/>
      </c>
      <c r="I30" s="12">
        <f>IF(G30="HVDC_line",Parametres!$B$26,Parametres!$B$24+IF(G30="HVDC_B2B",Parametres!$B$25,0))</f>
        <v/>
      </c>
      <c r="J30" s="13">
        <f>ROUND(H30+I30,4)</f>
        <v/>
      </c>
      <c r="K30" s="6" t="inlineStr">
        <is>
          <t>estime</t>
        </is>
      </c>
      <c r="L30" s="6" t="inlineStr">
        <is>
          <t>400</t>
        </is>
      </c>
      <c r="M30" s="6" t="inlineStr">
        <is>
          <t>TBD</t>
        </is>
      </c>
    </row>
    <row r="31">
      <c r="A31" s="6" t="n">
        <v>27</v>
      </c>
      <c r="B31" s="6" t="inlineStr">
        <is>
          <t>Azerbaidjan - Turkiye</t>
        </is>
      </c>
      <c r="C31" s="6" t="inlineStr">
        <is>
          <t>Sederek / Babek - Iğdır</t>
        </is>
      </c>
      <c r="D31" s="6" t="inlineStr">
        <is>
          <t>Existante</t>
        </is>
      </c>
      <c r="E31" s="6" t="n">
        <v>154</v>
      </c>
      <c r="F31" s="6" t="n">
        <v>40</v>
      </c>
      <c r="G31" s="6" t="inlineStr">
        <is>
          <t>AC</t>
        </is>
      </c>
      <c r="H31" s="12">
        <f>IF(G31="HVDC_line",Parametres!$B$27*F31/1000,VLOOKUP(E31,Parametres!$A$13:$B$19,2,FALSE)*F31/100)</f>
        <v/>
      </c>
      <c r="I31" s="12">
        <f>IF(G31="HVDC_line",Parametres!$B$26,Parametres!$B$24+IF(G31="HVDC_B2B",Parametres!$B$25,0))</f>
        <v/>
      </c>
      <c r="J31" s="13">
        <f>ROUND(H31+I31,4)</f>
        <v/>
      </c>
      <c r="K31" s="6" t="inlineStr">
        <is>
          <t>ref</t>
        </is>
      </c>
      <c r="L31" s="6" t="inlineStr">
        <is>
          <t>154</t>
        </is>
      </c>
      <c r="M31" s="6" t="inlineStr">
        <is>
          <t>~40</t>
        </is>
      </c>
    </row>
    <row r="32">
      <c r="A32" s="6" t="n">
        <v>28</v>
      </c>
      <c r="B32" s="6" t="inlineStr">
        <is>
          <t>Azerbaidjan - Iran</t>
        </is>
      </c>
      <c r="C32" s="6" t="inlineStr">
        <is>
          <t>Babek / Julfa - Khoy / Marand</t>
        </is>
      </c>
      <c r="D32" s="6" t="inlineStr">
        <is>
          <t>Existante</t>
        </is>
      </c>
      <c r="E32" s="6" t="n">
        <v>220</v>
      </c>
      <c r="F32" s="6" t="n">
        <v>80</v>
      </c>
      <c r="G32" s="6" t="inlineStr">
        <is>
          <t>AC</t>
        </is>
      </c>
      <c r="H32" s="12">
        <f>IF(G32="HVDC_line",Parametres!$B$27*F32/1000,VLOOKUP(E32,Parametres!$A$13:$B$19,2,FALSE)*F32/100)</f>
        <v/>
      </c>
      <c r="I32" s="12">
        <f>IF(G32="HVDC_line",Parametres!$B$26,Parametres!$B$24+IF(G32="HVDC_B2B",Parametres!$B$25,0))</f>
        <v/>
      </c>
      <c r="J32" s="13">
        <f>ROUND(H32+I32,4)</f>
        <v/>
      </c>
      <c r="K32" s="6" t="inlineStr">
        <is>
          <t>ref</t>
        </is>
      </c>
      <c r="L32" s="6" t="inlineStr">
        <is>
          <t>132 / 220</t>
        </is>
      </c>
      <c r="M32" s="6" t="inlineStr">
        <is>
          <t>~80</t>
        </is>
      </c>
    </row>
    <row r="33">
      <c r="A33" s="6" t="n">
        <v>29</v>
      </c>
      <c r="B33" s="6" t="inlineStr">
        <is>
          <t>Azerbaidjan - Turkiye</t>
        </is>
      </c>
      <c r="C33" s="6" t="inlineStr">
        <is>
          <t>Azerbaijan-Türkiye-Europe Green Corridor</t>
        </is>
      </c>
      <c r="D33" s="6" t="inlineStr">
        <is>
          <t>Candidate</t>
        </is>
      </c>
      <c r="E33" s="6" t="n">
        <v>400</v>
      </c>
      <c r="F33" s="6" t="n">
        <v>230</v>
      </c>
      <c r="G33" s="6" t="inlineStr">
        <is>
          <t>HVDC_B2B</t>
        </is>
      </c>
      <c r="H33" s="12">
        <f>IF(G33="HVDC_line",Parametres!$B$27*F33/1000,VLOOKUP(E33,Parametres!$A$13:$B$19,2,FALSE)*F33/100)</f>
        <v/>
      </c>
      <c r="I33" s="12">
        <f>IF(G33="HVDC_line",Parametres!$B$26,Parametres!$B$24+IF(G33="HVDC_B2B",Parametres!$B$25,0))</f>
        <v/>
      </c>
      <c r="J33" s="13">
        <f>ROUND(H33+I33,4)</f>
        <v/>
      </c>
      <c r="K33" s="6" t="inlineStr">
        <is>
          <t>ref</t>
        </is>
      </c>
      <c r="L33" s="6" t="inlineStr">
        <is>
          <t>400</t>
        </is>
      </c>
      <c r="M33" s="6" t="inlineStr">
        <is>
          <t>230</t>
        </is>
      </c>
    </row>
    <row r="34">
      <c r="A34" s="6" t="n">
        <v>30</v>
      </c>
      <c r="B34" s="6" t="inlineStr">
        <is>
          <t>Georgie - Azerbaidjan</t>
        </is>
      </c>
      <c r="C34" s="6" t="inlineStr">
        <is>
          <t>Gardabani-500 - Samukh (Mukhrani Valley)</t>
        </is>
      </c>
      <c r="D34" s="6" t="inlineStr">
        <is>
          <t>Existante</t>
        </is>
      </c>
      <c r="E34" s="6" t="n">
        <v>500</v>
      </c>
      <c r="F34" s="6" t="n">
        <v>182</v>
      </c>
      <c r="G34" s="6" t="inlineStr">
        <is>
          <t>AC</t>
        </is>
      </c>
      <c r="H34" s="12">
        <f>IF(G34="HVDC_line",Parametres!$B$27*F34/1000,VLOOKUP(E34,Parametres!$A$13:$B$19,2,FALSE)*F34/100)</f>
        <v/>
      </c>
      <c r="I34" s="12">
        <f>IF(G34="HVDC_line",Parametres!$B$26,Parametres!$B$24+IF(G34="HVDC_B2B",Parametres!$B$25,0))</f>
        <v/>
      </c>
      <c r="J34" s="13">
        <f>ROUND(H34+I34,4)</f>
        <v/>
      </c>
      <c r="K34" s="6" t="inlineStr">
        <is>
          <t>ref</t>
        </is>
      </c>
      <c r="L34" s="6" t="inlineStr">
        <is>
          <t>500</t>
        </is>
      </c>
      <c r="M34" s="6" t="inlineStr">
        <is>
          <t>182</t>
        </is>
      </c>
    </row>
    <row r="35">
      <c r="A35" s="6" t="n">
        <v>31</v>
      </c>
      <c r="B35" s="6" t="inlineStr">
        <is>
          <t>Georgie - Azerbaidjan</t>
        </is>
      </c>
      <c r="C35" s="6" t="inlineStr">
        <is>
          <t>Gardabani - Aghstafa</t>
        </is>
      </c>
      <c r="D35" s="6" t="inlineStr">
        <is>
          <t>Existante</t>
        </is>
      </c>
      <c r="E35" s="6" t="n">
        <v>330</v>
      </c>
      <c r="F35" s="6" t="n">
        <v>44</v>
      </c>
      <c r="G35" s="6" t="inlineStr">
        <is>
          <t>AC</t>
        </is>
      </c>
      <c r="H35" s="12">
        <f>IF(G35="HVDC_line",Parametres!$B$27*F35/1000,VLOOKUP(E35,Parametres!$A$13:$B$19,2,FALSE)*F35/100)</f>
        <v/>
      </c>
      <c r="I35" s="12">
        <f>IF(G35="HVDC_line",Parametres!$B$26,Parametres!$B$24+IF(G35="HVDC_B2B",Parametres!$B$25,0))</f>
        <v/>
      </c>
      <c r="J35" s="13">
        <f>ROUND(H35+I35,4)</f>
        <v/>
      </c>
      <c r="K35" s="6" t="inlineStr">
        <is>
          <t>ref</t>
        </is>
      </c>
      <c r="L35" s="6" t="inlineStr">
        <is>
          <t>330</t>
        </is>
      </c>
      <c r="M35" s="6" t="inlineStr">
        <is>
          <t>~44</t>
        </is>
      </c>
    </row>
    <row r="36">
      <c r="A36" s="6" t="n">
        <v>32</v>
      </c>
      <c r="B36" s="6" t="inlineStr">
        <is>
          <t>Georgie - Armenie</t>
        </is>
      </c>
      <c r="C36" s="6" t="inlineStr">
        <is>
          <t>Alaverdi - (Armenian border)</t>
        </is>
      </c>
      <c r="D36" s="6" t="inlineStr">
        <is>
          <t>Existante</t>
        </is>
      </c>
      <c r="E36" s="6" t="n">
        <v>220</v>
      </c>
      <c r="F36" s="6" t="n">
        <v>80</v>
      </c>
      <c r="G36" s="6" t="inlineStr">
        <is>
          <t>AC</t>
        </is>
      </c>
      <c r="H36" s="12">
        <f>IF(G36="HVDC_line",Parametres!$B$27*F36/1000,VLOOKUP(E36,Parametres!$A$13:$B$19,2,FALSE)*F36/100)</f>
        <v/>
      </c>
      <c r="I36" s="12">
        <f>IF(G36="HVDC_line",Parametres!$B$26,Parametres!$B$24+IF(G36="HVDC_B2B",Parametres!$B$25,0))</f>
        <v/>
      </c>
      <c r="J36" s="13">
        <f>ROUND(H36+I36,4)</f>
        <v/>
      </c>
      <c r="K36" s="6" t="inlineStr">
        <is>
          <t>ref</t>
        </is>
      </c>
      <c r="L36" s="6" t="inlineStr">
        <is>
          <t>220</t>
        </is>
      </c>
      <c r="M36" s="6" t="inlineStr">
        <is>
          <t>~80</t>
        </is>
      </c>
    </row>
    <row r="37">
      <c r="A37" s="6" t="n">
        <v>33</v>
      </c>
      <c r="B37" s="6" t="inlineStr">
        <is>
          <t>Georgie - Russie</t>
        </is>
      </c>
      <c r="C37" s="6" t="inlineStr">
        <is>
          <t>Kavkasioni 500 kV (Enguri/NW axis - RU)</t>
        </is>
      </c>
      <c r="D37" s="6" t="inlineStr">
        <is>
          <t>Existante</t>
        </is>
      </c>
      <c r="E37" s="6" t="n">
        <v>500</v>
      </c>
      <c r="F37" s="6" t="n">
        <v>150</v>
      </c>
      <c r="G37" s="6" t="inlineStr">
        <is>
          <t>AC</t>
        </is>
      </c>
      <c r="H37" s="12">
        <f>IF(G37="HVDC_line",Parametres!$B$27*F37/1000,VLOOKUP(E37,Parametres!$A$13:$B$19,2,FALSE)*F37/100)</f>
        <v/>
      </c>
      <c r="I37" s="12">
        <f>IF(G37="HVDC_line",Parametres!$B$26,Parametres!$B$24+IF(G37="HVDC_B2B",Parametres!$B$25,0))</f>
        <v/>
      </c>
      <c r="J37" s="13">
        <f>ROUND(H37+I37,4)</f>
        <v/>
      </c>
      <c r="K37" s="6" t="inlineStr">
        <is>
          <t>ref</t>
        </is>
      </c>
      <c r="L37" s="6" t="inlineStr">
        <is>
          <t>500</t>
        </is>
      </c>
      <c r="M37" s="6" t="inlineStr">
        <is>
          <t>~150</t>
        </is>
      </c>
    </row>
    <row r="38">
      <c r="A38" s="6" t="n">
        <v>34</v>
      </c>
      <c r="B38" s="6" t="inlineStr">
        <is>
          <t>Georgie - Russie</t>
        </is>
      </c>
      <c r="C38" s="6" t="inlineStr">
        <is>
          <t>Salkhino - Sochi area</t>
        </is>
      </c>
      <c r="D38" s="6" t="inlineStr">
        <is>
          <t>Existante</t>
        </is>
      </c>
      <c r="E38" s="6" t="n">
        <v>220</v>
      </c>
      <c r="F38" s="6" t="n">
        <v>50</v>
      </c>
      <c r="G38" s="6" t="inlineStr">
        <is>
          <t>AC</t>
        </is>
      </c>
      <c r="H38" s="12">
        <f>IF(G38="HVDC_line",Parametres!$B$27*F38/1000,VLOOKUP(E38,Parametres!$A$13:$B$19,2,FALSE)*F38/100)</f>
        <v/>
      </c>
      <c r="I38" s="12">
        <f>IF(G38="HVDC_line",Parametres!$B$26,Parametres!$B$24+IF(G38="HVDC_B2B",Parametres!$B$25,0))</f>
        <v/>
      </c>
      <c r="J38" s="13">
        <f>ROUND(H38+I38,4)</f>
        <v/>
      </c>
      <c r="K38" s="6" t="inlineStr">
        <is>
          <t>ref</t>
        </is>
      </c>
      <c r="L38" s="6" t="inlineStr">
        <is>
          <t>220</t>
        </is>
      </c>
      <c r="M38" s="6" t="inlineStr">
        <is>
          <t>~50</t>
        </is>
      </c>
    </row>
    <row r="39">
      <c r="A39" s="6" t="n">
        <v>35</v>
      </c>
      <c r="B39" s="6" t="inlineStr">
        <is>
          <t>Georgie - Russie</t>
        </is>
      </c>
      <c r="C39" s="6" t="inlineStr">
        <is>
          <t>Nakaduli - (Russian border)</t>
        </is>
      </c>
      <c r="D39" s="6" t="inlineStr">
        <is>
          <t>Existante</t>
        </is>
      </c>
      <c r="E39" s="6" t="n">
        <v>110</v>
      </c>
      <c r="F39" s="6" t="n">
        <v>60</v>
      </c>
      <c r="G39" s="6" t="inlineStr">
        <is>
          <t>AC</t>
        </is>
      </c>
      <c r="H39" s="12">
        <f>IF(G39="HVDC_line",Parametres!$B$27*F39/1000,VLOOKUP(E39,Parametres!$A$13:$B$19,2,FALSE)*F39/100)</f>
        <v/>
      </c>
      <c r="I39" s="12">
        <f>IF(G39="HVDC_line",Parametres!$B$26,Parametres!$B$24+IF(G39="HVDC_B2B",Parametres!$B$25,0))</f>
        <v/>
      </c>
      <c r="J39" s="13">
        <f>ROUND(H39+I39,4)</f>
        <v/>
      </c>
      <c r="K39" s="6" t="inlineStr">
        <is>
          <t>estime</t>
        </is>
      </c>
      <c r="L39" s="6" t="inlineStr">
        <is>
          <t>110</t>
        </is>
      </c>
      <c r="M39" s="6" t="inlineStr">
        <is>
          <t>—</t>
        </is>
      </c>
    </row>
    <row r="40">
      <c r="A40" s="6" t="n">
        <v>36</v>
      </c>
      <c r="B40" s="6" t="inlineStr">
        <is>
          <t>Georgie - Armenie</t>
        </is>
      </c>
      <c r="C40" s="6" t="inlineStr">
        <is>
          <t>Caucasus Transmission Network (CTN)</t>
        </is>
      </c>
      <c r="D40" s="6" t="inlineStr">
        <is>
          <t>Candidate</t>
        </is>
      </c>
      <c r="E40" s="6" t="n">
        <v>400</v>
      </c>
      <c r="F40" s="6" t="n">
        <v>90</v>
      </c>
      <c r="G40" s="6" t="inlineStr">
        <is>
          <t>HVDC_B2B</t>
        </is>
      </c>
      <c r="H40" s="12">
        <f>IF(G40="HVDC_line",Parametres!$B$27*F40/1000,VLOOKUP(E40,Parametres!$A$13:$B$19,2,FALSE)*F40/100)</f>
        <v/>
      </c>
      <c r="I40" s="12">
        <f>IF(G40="HVDC_line",Parametres!$B$26,Parametres!$B$24+IF(G40="HVDC_B2B",Parametres!$B$25,0))</f>
        <v/>
      </c>
      <c r="J40" s="13">
        <f>ROUND(H40+I40,4)</f>
        <v/>
      </c>
      <c r="K40" s="6" t="inlineStr">
        <is>
          <t>ref</t>
        </is>
      </c>
      <c r="L40" s="6" t="inlineStr">
        <is>
          <t>500/400</t>
        </is>
      </c>
      <c r="M40" s="6" t="inlineStr">
        <is>
          <t>~90</t>
        </is>
      </c>
    </row>
    <row r="41">
      <c r="A41" s="6" t="n">
        <v>37</v>
      </c>
      <c r="B41" s="6" t="inlineStr">
        <is>
          <t>Georgie - Roumanie</t>
        </is>
      </c>
      <c r="C41" s="6" t="inlineStr">
        <is>
          <t>Black Sea Submarine Cable (BSSC)</t>
        </is>
      </c>
      <c r="D41" s="6" t="inlineStr">
        <is>
          <t>Candidate</t>
        </is>
      </c>
      <c r="E41" s="6" t="n">
        <v>525</v>
      </c>
      <c r="F41" s="6" t="n">
        <v>1175</v>
      </c>
      <c r="G41" s="6" t="inlineStr">
        <is>
          <t>HVDC_line</t>
        </is>
      </c>
      <c r="H41" s="12">
        <f>IF(G41="HVDC_line",Parametres!$B$27*F41/1000,VLOOKUP(E41,Parametres!$A$13:$B$19,2,FALSE)*F41/100)</f>
        <v/>
      </c>
      <c r="I41" s="12">
        <f>IF(G41="HVDC_line",Parametres!$B$26,Parametres!$B$24+IF(G41="HVDC_B2B",Parametres!$B$25,0))</f>
        <v/>
      </c>
      <c r="J41" s="13">
        <f>ROUND(H41+I41,4)</f>
        <v/>
      </c>
      <c r="K41" s="6" t="inlineStr">
        <is>
          <t>ref</t>
        </is>
      </c>
      <c r="L41" s="6" t="inlineStr">
        <is>
          <t>±525</t>
        </is>
      </c>
      <c r="M41" s="6" t="inlineStr">
        <is>
          <t>1155-1195</t>
        </is>
      </c>
    </row>
    <row r="42">
      <c r="A42" s="6" t="n">
        <v>38</v>
      </c>
      <c r="B42" s="6" t="inlineStr">
        <is>
          <t>Bulgarie - Grece</t>
        </is>
      </c>
      <c r="C42" s="6" t="inlineStr">
        <is>
          <t>Blagoevgrad area - Thessaloniki area</t>
        </is>
      </c>
      <c r="D42" s="6" t="inlineStr">
        <is>
          <t>Existante</t>
        </is>
      </c>
      <c r="E42" s="6" t="n">
        <v>400</v>
      </c>
      <c r="F42" s="6" t="n">
        <v>150</v>
      </c>
      <c r="G42" s="6" t="inlineStr">
        <is>
          <t>AC</t>
        </is>
      </c>
      <c r="H42" s="12">
        <f>IF(G42="HVDC_line",Parametres!$B$27*F42/1000,VLOOKUP(E42,Parametres!$A$13:$B$19,2,FALSE)*F42/100)</f>
        <v/>
      </c>
      <c r="I42" s="12">
        <f>IF(G42="HVDC_line",Parametres!$B$26,Parametres!$B$24+IF(G42="HVDC_B2B",Parametres!$B$25,0))</f>
        <v/>
      </c>
      <c r="J42" s="13">
        <f>ROUND(H42+I42,4)</f>
        <v/>
      </c>
      <c r="K42" s="6" t="inlineStr">
        <is>
          <t>ref</t>
        </is>
      </c>
      <c r="L42" s="6" t="inlineStr">
        <is>
          <t>400</t>
        </is>
      </c>
      <c r="M42" s="6" t="inlineStr">
        <is>
          <t>~150</t>
        </is>
      </c>
    </row>
    <row r="43">
      <c r="A43" s="6" t="n">
        <v>39</v>
      </c>
      <c r="B43" s="6" t="inlineStr">
        <is>
          <t>Bulgarie - Grece</t>
        </is>
      </c>
      <c r="C43" s="6" t="inlineStr">
        <is>
          <t>BG-GR 2nd interconnection (PCI)</t>
        </is>
      </c>
      <c r="D43" s="6" t="inlineStr">
        <is>
          <t>Existante</t>
        </is>
      </c>
      <c r="E43" s="6" t="n">
        <v>400</v>
      </c>
      <c r="F43" s="6" t="n">
        <v>151</v>
      </c>
      <c r="G43" s="6" t="inlineStr">
        <is>
          <t>AC</t>
        </is>
      </c>
      <c r="H43" s="12">
        <f>IF(G43="HVDC_line",Parametres!$B$27*F43/1000,VLOOKUP(E43,Parametres!$A$13:$B$19,2,FALSE)*F43/100)</f>
        <v/>
      </c>
      <c r="I43" s="12">
        <f>IF(G43="HVDC_line",Parametres!$B$26,Parametres!$B$24+IF(G43="HVDC_B2B",Parametres!$B$25,0))</f>
        <v/>
      </c>
      <c r="J43" s="13">
        <f>ROUND(H43+I43,4)</f>
        <v/>
      </c>
      <c r="K43" s="6" t="inlineStr">
        <is>
          <t>ref</t>
        </is>
      </c>
      <c r="L43" s="6" t="inlineStr">
        <is>
          <t>400</t>
        </is>
      </c>
      <c r="M43" s="6" t="inlineStr">
        <is>
          <t>151 (30 in GR, 121 in BG)</t>
        </is>
      </c>
    </row>
    <row r="44">
      <c r="A44" s="6" t="n">
        <v>40</v>
      </c>
      <c r="B44" s="6" t="inlineStr">
        <is>
          <t>Bulgarie - Serbie</t>
        </is>
      </c>
      <c r="C44" s="6" t="inlineStr">
        <is>
          <t>Sofia West - Niš</t>
        </is>
      </c>
      <c r="D44" s="6" t="inlineStr">
        <is>
          <t>Existante</t>
        </is>
      </c>
      <c r="E44" s="6" t="n">
        <v>400</v>
      </c>
      <c r="F44" s="6" t="n">
        <v>150</v>
      </c>
      <c r="G44" s="6" t="inlineStr">
        <is>
          <t>AC</t>
        </is>
      </c>
      <c r="H44" s="12">
        <f>IF(G44="HVDC_line",Parametres!$B$27*F44/1000,VLOOKUP(E44,Parametres!$A$13:$B$19,2,FALSE)*F44/100)</f>
        <v/>
      </c>
      <c r="I44" s="12">
        <f>IF(G44="HVDC_line",Parametres!$B$26,Parametres!$B$24+IF(G44="HVDC_B2B",Parametres!$B$25,0))</f>
        <v/>
      </c>
      <c r="J44" s="13">
        <f>ROUND(H44+I44,4)</f>
        <v/>
      </c>
      <c r="K44" s="6" t="inlineStr">
        <is>
          <t>ref</t>
        </is>
      </c>
      <c r="L44" s="6" t="inlineStr">
        <is>
          <t>400</t>
        </is>
      </c>
      <c r="M44" s="6" t="inlineStr">
        <is>
          <t>~150</t>
        </is>
      </c>
    </row>
    <row r="45">
      <c r="A45" s="6" t="n">
        <v>41</v>
      </c>
      <c r="B45" s="6" t="inlineStr">
        <is>
          <t>Azerbaidjan - Azerbaidjan</t>
        </is>
      </c>
      <c r="C45" s="6" t="inlineStr">
        <is>
          <t>Zangezur corridor</t>
        </is>
      </c>
      <c r="D45" s="6" t="inlineStr">
        <is>
          <t>Engagee</t>
        </is>
      </c>
      <c r="E45" s="6" t="n">
        <v>330</v>
      </c>
      <c r="F45" s="6" t="n">
        <v>223</v>
      </c>
      <c r="G45" s="6" t="inlineStr">
        <is>
          <t>AC</t>
        </is>
      </c>
      <c r="H45" s="12">
        <f>IF(G45="HVDC_line",Parametres!$B$27*F45/1000,VLOOKUP(E45,Parametres!$A$13:$B$19,2,FALSE)*F45/100)</f>
        <v/>
      </c>
      <c r="I45" s="12">
        <f>IF(G45="HVDC_line",Parametres!$B$26,Parametres!$B$24+IF(G45="HVDC_B2B",Parametres!$B$25,0))</f>
        <v/>
      </c>
      <c r="J45" s="13">
        <f>ROUND(H45+I45,4)</f>
        <v/>
      </c>
      <c r="K45" s="6" t="inlineStr">
        <is>
          <t>ref</t>
        </is>
      </c>
      <c r="L45" s="6" t="inlineStr">
        <is>
          <t>330</t>
        </is>
      </c>
      <c r="M45" s="6" t="inlineStr">
        <is>
          <t>74 + 105 + 44</t>
        </is>
      </c>
    </row>
    <row r="46">
      <c r="A46" s="6" t="n">
        <v>42</v>
      </c>
      <c r="B46" s="6" t="inlineStr">
        <is>
          <t>Azerbaidjan - Russie</t>
        </is>
      </c>
      <c r="C46" s="6" t="inlineStr">
        <is>
          <t>Yashma - Derbent</t>
        </is>
      </c>
      <c r="D46" s="6" t="inlineStr">
        <is>
          <t>Existante</t>
        </is>
      </c>
      <c r="E46" s="6" t="n">
        <v>330</v>
      </c>
      <c r="F46" s="6" t="n">
        <v>200</v>
      </c>
      <c r="G46" s="6" t="inlineStr">
        <is>
          <t>AC</t>
        </is>
      </c>
      <c r="H46" s="12">
        <f>IF(G46="HVDC_line",Parametres!$B$27*F46/1000,VLOOKUP(E46,Parametres!$A$13:$B$19,2,FALSE)*F46/100)</f>
        <v/>
      </c>
      <c r="I46" s="12">
        <f>IF(G46="HVDC_line",Parametres!$B$26,Parametres!$B$24+IF(G46="HVDC_B2B",Parametres!$B$25,0))</f>
        <v/>
      </c>
      <c r="J46" s="13">
        <f>ROUND(H46+I46,4)</f>
        <v/>
      </c>
      <c r="K46" s="6" t="inlineStr">
        <is>
          <t>ref</t>
        </is>
      </c>
      <c r="L46" s="6" t="inlineStr">
        <is>
          <t>330</t>
        </is>
      </c>
      <c r="M46" s="6" t="inlineStr">
        <is>
          <t>~200</t>
        </is>
      </c>
    </row>
    <row r="47">
      <c r="A47" s="6" t="n">
        <v>43</v>
      </c>
      <c r="B47" s="6" t="inlineStr">
        <is>
          <t>Azerbaidjan - Russie</t>
        </is>
      </c>
      <c r="C47" s="6" t="inlineStr">
        <is>
          <t>Khachmaz - Derbent</t>
        </is>
      </c>
      <c r="D47" s="6" t="inlineStr">
        <is>
          <t>Existante</t>
        </is>
      </c>
      <c r="E47" s="6" t="n">
        <v>330</v>
      </c>
      <c r="F47" s="6" t="n">
        <v>120</v>
      </c>
      <c r="G47" s="6" t="inlineStr">
        <is>
          <t>AC</t>
        </is>
      </c>
      <c r="H47" s="12">
        <f>IF(G47="HVDC_line",Parametres!$B$27*F47/1000,VLOOKUP(E47,Parametres!$A$13:$B$19,2,FALSE)*F47/100)</f>
        <v/>
      </c>
      <c r="I47" s="12">
        <f>IF(G47="HVDC_line",Parametres!$B$26,Parametres!$B$24+IF(G47="HVDC_B2B",Parametres!$B$25,0))</f>
        <v/>
      </c>
      <c r="J47" s="13">
        <f>ROUND(H47+I47,4)</f>
        <v/>
      </c>
      <c r="K47" s="6" t="inlineStr">
        <is>
          <t>estime</t>
        </is>
      </c>
      <c r="L47" s="6" t="inlineStr">
        <is>
          <t>330</t>
        </is>
      </c>
      <c r="M47" s="6" t="inlineStr">
        <is>
          <t>—</t>
        </is>
      </c>
    </row>
    <row r="48">
      <c r="A48" s="6" t="n">
        <v>44</v>
      </c>
      <c r="B48" s="6" t="inlineStr">
        <is>
          <t>Azerbaidjan - Russie</t>
        </is>
      </c>
      <c r="C48" s="6" t="inlineStr">
        <is>
          <t>Yalama - Bilici</t>
        </is>
      </c>
      <c r="D48" s="6" t="inlineStr">
        <is>
          <t>Existante</t>
        </is>
      </c>
      <c r="E48" s="6" t="n">
        <v>110</v>
      </c>
      <c r="F48" s="6" t="n">
        <v>50</v>
      </c>
      <c r="G48" s="6" t="inlineStr">
        <is>
          <t>AC</t>
        </is>
      </c>
      <c r="H48" s="12">
        <f>IF(G48="HVDC_line",Parametres!$B$27*F48/1000,VLOOKUP(E48,Parametres!$A$13:$B$19,2,FALSE)*F48/100)</f>
        <v/>
      </c>
      <c r="I48" s="12">
        <f>IF(G48="HVDC_line",Parametres!$B$26,Parametres!$B$24+IF(G48="HVDC_B2B",Parametres!$B$25,0))</f>
        <v/>
      </c>
      <c r="J48" s="13">
        <f>ROUND(H48+I48,4)</f>
        <v/>
      </c>
      <c r="K48" s="6" t="inlineStr">
        <is>
          <t>estime</t>
        </is>
      </c>
      <c r="L48" s="6" t="inlineStr">
        <is>
          <t>110</t>
        </is>
      </c>
      <c r="M48" s="6" t="inlineStr">
        <is>
          <t>—</t>
        </is>
      </c>
    </row>
    <row r="49">
      <c r="A49" s="6" t="n">
        <v>45</v>
      </c>
      <c r="B49" s="6" t="inlineStr">
        <is>
          <t>Azerbaidjan - Iran</t>
        </is>
      </c>
      <c r="C49" s="6" t="inlineStr">
        <is>
          <t>Imishli/Masalli/Ali Bayramli/Araz - Iran (4 PTLs combined)</t>
        </is>
      </c>
      <c r="D49" s="6" t="inlineStr">
        <is>
          <t>Existante</t>
        </is>
      </c>
      <c r="E49" s="6" t="n">
        <v>220</v>
      </c>
      <c r="F49" s="6" t="n">
        <v>100</v>
      </c>
      <c r="G49" s="6" t="inlineStr">
        <is>
          <t>AC</t>
        </is>
      </c>
      <c r="H49" s="12">
        <f>IF(G49="HVDC_line",Parametres!$B$27*F49/1000,VLOOKUP(E49,Parametres!$A$13:$B$19,2,FALSE)*F49/100)</f>
        <v/>
      </c>
      <c r="I49" s="12">
        <f>IF(G49="HVDC_line",Parametres!$B$26,Parametres!$B$24+IF(G49="HVDC_B2B",Parametres!$B$25,0))</f>
        <v/>
      </c>
      <c r="J49" s="13">
        <f>ROUND(H49+I49,4)</f>
        <v/>
      </c>
      <c r="K49" s="6" t="inlineStr">
        <is>
          <t>estime</t>
        </is>
      </c>
      <c r="L49" s="6" t="inlineStr">
        <is>
          <t>230</t>
        </is>
      </c>
      <c r="M49" s="6" t="inlineStr">
        <is>
          <t>—</t>
        </is>
      </c>
    </row>
    <row r="50">
      <c r="A50" s="6" t="n">
        <v>46</v>
      </c>
      <c r="B50" s="6" t="inlineStr">
        <is>
          <t>Azerbaidjan - Russie</t>
        </is>
      </c>
      <c r="C50" s="6" t="inlineStr">
        <is>
          <t>Absheron-Yashma - Derbent (2nd line)</t>
        </is>
      </c>
      <c r="D50" s="6" t="inlineStr">
        <is>
          <t>Candidate</t>
        </is>
      </c>
      <c r="E50" s="6" t="n">
        <v>330</v>
      </c>
      <c r="F50" s="6" t="n">
        <v>200</v>
      </c>
      <c r="G50" s="6" t="inlineStr">
        <is>
          <t>AC</t>
        </is>
      </c>
      <c r="H50" s="12">
        <f>IF(G50="HVDC_line",Parametres!$B$27*F50/1000,VLOOKUP(E50,Parametres!$A$13:$B$19,2,FALSE)*F50/100)</f>
        <v/>
      </c>
      <c r="I50" s="12">
        <f>IF(G50="HVDC_line",Parametres!$B$26,Parametres!$B$24+IF(G50="HVDC_B2B",Parametres!$B$25,0))</f>
        <v/>
      </c>
      <c r="J50" s="13">
        <f>ROUND(H50+I50,4)</f>
        <v/>
      </c>
      <c r="K50" s="6" t="inlineStr">
        <is>
          <t>estime</t>
        </is>
      </c>
      <c r="L50" s="6" t="inlineStr">
        <is>
          <t>330</t>
        </is>
      </c>
      <c r="M50" s="6" t="inlineStr">
        <is>
          <t>—</t>
        </is>
      </c>
    </row>
    <row r="51">
      <c r="A51" s="6" t="n">
        <v>47</v>
      </c>
      <c r="B51" s="6" t="inlineStr">
        <is>
          <t>Armenie - Turkiye</t>
        </is>
      </c>
      <c r="C51" s="6" t="inlineStr">
        <is>
          <t>Armenian border - Kars (Türkiye)</t>
        </is>
      </c>
      <c r="D51" s="6" t="inlineStr">
        <is>
          <t>Existante</t>
        </is>
      </c>
      <c r="E51" s="6" t="n">
        <v>220</v>
      </c>
      <c r="F51" s="6" t="n">
        <v>80</v>
      </c>
      <c r="G51" s="6" t="inlineStr">
        <is>
          <t>AC</t>
        </is>
      </c>
      <c r="H51" s="12">
        <f>IF(G51="HVDC_line",Parametres!$B$27*F51/1000,VLOOKUP(E51,Parametres!$A$13:$B$19,2,FALSE)*F51/100)</f>
        <v/>
      </c>
      <c r="I51" s="12">
        <f>IF(G51="HVDC_line",Parametres!$B$26,Parametres!$B$24+IF(G51="HVDC_B2B",Parametres!$B$25,0))</f>
        <v/>
      </c>
      <c r="J51" s="13">
        <f>ROUND(H51+I51,4)</f>
        <v/>
      </c>
      <c r="K51" s="6" t="inlineStr">
        <is>
          <t>estime</t>
        </is>
      </c>
      <c r="L51" s="6" t="inlineStr">
        <is>
          <t>154/220</t>
        </is>
      </c>
      <c r="M51" s="6" t="inlineStr">
        <is>
          <t>—</t>
        </is>
      </c>
    </row>
    <row r="52">
      <c r="A52" s="6" t="n">
        <v>48</v>
      </c>
      <c r="B52" s="6" t="inlineStr">
        <is>
          <t>Armenie - Azerbaidjan</t>
        </is>
      </c>
      <c r="C52" s="6" t="inlineStr">
        <is>
          <t>Soviet-era lines (multiple) - Soviet-era lines (multiple)</t>
        </is>
      </c>
      <c r="D52" s="6" t="inlineStr">
        <is>
          <t>Existante</t>
        </is>
      </c>
      <c r="E52" s="6" t="n">
        <v>220</v>
      </c>
      <c r="F52" s="6" t="n">
        <v>60</v>
      </c>
      <c r="G52" s="6" t="inlineStr">
        <is>
          <t>AC</t>
        </is>
      </c>
      <c r="H52" s="12">
        <f>IF(G52="HVDC_line",Parametres!$B$27*F52/1000,VLOOKUP(E52,Parametres!$A$13:$B$19,2,FALSE)*F52/100)</f>
        <v/>
      </c>
      <c r="I52" s="12">
        <f>IF(G52="HVDC_line",Parametres!$B$26,Parametres!$B$24+IF(G52="HVDC_B2B",Parametres!$B$25,0))</f>
        <v/>
      </c>
      <c r="J52" s="13">
        <f>ROUND(H52+I52,4)</f>
        <v/>
      </c>
      <c r="K52" s="6" t="inlineStr">
        <is>
          <t>estime</t>
        </is>
      </c>
      <c r="L52" s="6" t="inlineStr">
        <is>
          <t>—</t>
        </is>
      </c>
      <c r="M52" s="6" t="inlineStr">
        <is>
          <t>—</t>
        </is>
      </c>
    </row>
    <row r="53">
      <c r="A53" s="6" t="n">
        <v>49</v>
      </c>
      <c r="B53" s="6" t="inlineStr">
        <is>
          <t>Armenie - Iran</t>
        </is>
      </c>
      <c r="C53" s="6" t="inlineStr">
        <is>
          <t>Agarak / Meghri - Iran border (2 lines)</t>
        </is>
      </c>
      <c r="D53" s="6" t="inlineStr">
        <is>
          <t>Existante</t>
        </is>
      </c>
      <c r="E53" s="6" t="n">
        <v>220</v>
      </c>
      <c r="F53" s="6" t="n">
        <v>100</v>
      </c>
      <c r="G53" s="6" t="inlineStr">
        <is>
          <t>AC</t>
        </is>
      </c>
      <c r="H53" s="12">
        <f>IF(G53="HVDC_line",Parametres!$B$27*F53/1000,VLOOKUP(E53,Parametres!$A$13:$B$19,2,FALSE)*F53/100)</f>
        <v/>
      </c>
      <c r="I53" s="12">
        <f>IF(G53="HVDC_line",Parametres!$B$26,Parametres!$B$24+IF(G53="HVDC_B2B",Parametres!$B$25,0))</f>
        <v/>
      </c>
      <c r="J53" s="13">
        <f>ROUND(H53+I53,4)</f>
        <v/>
      </c>
      <c r="K53" s="6" t="inlineStr">
        <is>
          <t>ref</t>
        </is>
      </c>
      <c r="L53" s="6" t="inlineStr">
        <is>
          <t>220</t>
        </is>
      </c>
      <c r="M53" s="6" t="inlineStr">
        <is>
          <t>~100</t>
        </is>
      </c>
    </row>
    <row r="54">
      <c r="A54" s="6" t="n">
        <v>50</v>
      </c>
      <c r="B54" s="6" t="inlineStr">
        <is>
          <t>Armenie - Iran</t>
        </is>
      </c>
      <c r="C54" s="6" t="inlineStr">
        <is>
          <t>AGIR / 3rd Iran-Armenia line</t>
        </is>
      </c>
      <c r="D54" s="6" t="inlineStr">
        <is>
          <t>Engagee</t>
        </is>
      </c>
      <c r="E54" s="6" t="n">
        <v>400</v>
      </c>
      <c r="F54" s="6" t="n">
        <v>80</v>
      </c>
      <c r="G54" s="6" t="inlineStr">
        <is>
          <t>AC</t>
        </is>
      </c>
      <c r="H54" s="12">
        <f>IF(G54="HVDC_line",Parametres!$B$27*F54/1000,VLOOKUP(E54,Parametres!$A$13:$B$19,2,FALSE)*F54/100)</f>
        <v/>
      </c>
      <c r="I54" s="12">
        <f>IF(G54="HVDC_line",Parametres!$B$26,Parametres!$B$24+IF(G54="HVDC_B2B",Parametres!$B$25,0))</f>
        <v/>
      </c>
      <c r="J54" s="13">
        <f>ROUND(H54+I54,4)</f>
        <v/>
      </c>
      <c r="K54" s="6" t="inlineStr">
        <is>
          <t>ref</t>
        </is>
      </c>
      <c r="L54" s="6" t="inlineStr">
        <is>
          <t>400</t>
        </is>
      </c>
      <c r="M54" s="6" t="inlineStr">
        <is>
          <t>~80</t>
        </is>
      </c>
    </row>
    <row r="55">
      <c r="A55" s="6" t="n">
        <v>51</v>
      </c>
      <c r="B55" s="6" t="inlineStr">
        <is>
          <t>Georgie - Roumanie</t>
        </is>
      </c>
      <c r="C55" s="6" t="inlineStr">
        <is>
          <t>GECO (Caspian–Black Sea–Europe Green Energy Corridor)</t>
        </is>
      </c>
      <c r="D55" s="6" t="inlineStr">
        <is>
          <t>Candidate</t>
        </is>
      </c>
      <c r="E55" s="6" t="n">
        <v>525</v>
      </c>
      <c r="F55" s="6" t="n">
        <v>1175</v>
      </c>
      <c r="G55" s="6" t="inlineStr">
        <is>
          <t>HVDC_line</t>
        </is>
      </c>
      <c r="H55" s="12">
        <f>IF(G55="HVDC_line",Parametres!$B$27*F55/1000,VLOOKUP(E55,Parametres!$A$13:$B$19,2,FALSE)*F55/100)</f>
        <v/>
      </c>
      <c r="I55" s="12">
        <f>IF(G55="HVDC_line",Parametres!$B$26,Parametres!$B$24+IF(G55="HVDC_B2B",Parametres!$B$25,0))</f>
        <v/>
      </c>
      <c r="J55" s="13">
        <f>ROUND(H55+I55,4)</f>
        <v/>
      </c>
      <c r="K55" s="6" t="inlineStr">
        <is>
          <t>estime</t>
        </is>
      </c>
      <c r="L55" s="6" t="inlineStr">
        <is>
          <t>±525</t>
        </is>
      </c>
      <c r="M55" s="6" t="inlineStr">
        <is>
          <t>nan</t>
        </is>
      </c>
    </row>
    <row r="56">
      <c r="A56" s="6" t="n">
        <v>52</v>
      </c>
      <c r="B56" s="6" t="inlineStr">
        <is>
          <t>Azerbaidjan - Kazakhstan</t>
        </is>
      </c>
      <c r="C56" s="6" t="inlineStr">
        <is>
          <t>Trans-Caspian GEC / Green Corridor Alliance (GCA)</t>
        </is>
      </c>
      <c r="D56" s="6" t="inlineStr">
        <is>
          <t>Candidate</t>
        </is>
      </c>
      <c r="E56" s="6" t="n">
        <v>525</v>
      </c>
      <c r="F56" s="6" t="n">
        <v>450</v>
      </c>
      <c r="G56" s="6" t="inlineStr">
        <is>
          <t>HVDC_line</t>
        </is>
      </c>
      <c r="H56" s="12">
        <f>IF(G56="HVDC_line",Parametres!$B$27*F56/1000,VLOOKUP(E56,Parametres!$A$13:$B$19,2,FALSE)*F56/100)</f>
        <v/>
      </c>
      <c r="I56" s="12">
        <f>IF(G56="HVDC_line",Parametres!$B$26,Parametres!$B$24+IF(G56="HVDC_B2B",Parametres!$B$25,0))</f>
        <v/>
      </c>
      <c r="J56" s="13">
        <f>ROUND(H56+I56,4)</f>
        <v/>
      </c>
      <c r="K56" s="6" t="inlineStr">
        <is>
          <t>estime</t>
        </is>
      </c>
      <c r="L56" s="6" t="inlineStr">
        <is>
          <t>TBD</t>
        </is>
      </c>
      <c r="M56" s="6" t="inlineStr">
        <is>
          <t>nan</t>
        </is>
      </c>
    </row>
    <row r="57">
      <c r="A57" s="6" t="n">
        <v>53</v>
      </c>
      <c r="B57" s="6" t="inlineStr">
        <is>
          <t>Georgie - Russie</t>
        </is>
      </c>
      <c r="C57" s="6" t="inlineStr">
        <is>
          <t>Java - (Russian border)</t>
        </is>
      </c>
      <c r="D57" s="6" t="inlineStr">
        <is>
          <t>Existante</t>
        </is>
      </c>
      <c r="E57" s="6" t="n">
        <v>110</v>
      </c>
      <c r="F57" s="6" t="n">
        <v>40</v>
      </c>
      <c r="G57" s="6" t="inlineStr">
        <is>
          <t>AC</t>
        </is>
      </c>
      <c r="H57" s="12">
        <f>IF(G57="HVDC_line",Parametres!$B$27*F57/1000,VLOOKUP(E57,Parametres!$A$13:$B$19,2,FALSE)*F57/100)</f>
        <v/>
      </c>
      <c r="I57" s="12">
        <f>IF(G57="HVDC_line",Parametres!$B$26,Parametres!$B$24+IF(G57="HVDC_B2B",Parametres!$B$25,0))</f>
        <v/>
      </c>
      <c r="J57" s="13">
        <f>ROUND(H57+I57,4)</f>
        <v/>
      </c>
      <c r="K57" s="6" t="inlineStr">
        <is>
          <t>estime</t>
        </is>
      </c>
      <c r="L57" s="6" t="inlineStr">
        <is>
          <t>110</t>
        </is>
      </c>
      <c r="M57" s="6" t="inlineStr">
        <is>
          <t>nan</t>
        </is>
      </c>
    </row>
  </sheetData>
  <autoFilter ref="A4:M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6" customWidth="1" min="3" max="3"/>
    <col width="11" customWidth="1" min="4" max="4"/>
    <col width="10" customWidth="1" min="5" max="5"/>
    <col width="11" customWidth="1" min="6" max="6"/>
    <col width="10" customWidth="1" min="7" max="7"/>
    <col width="16" customWidth="1" min="8" max="8"/>
    <col width="17" customWidth="1" min="9" max="9"/>
  </cols>
  <sheetData>
    <row r="1">
      <c r="A1" s="1" t="inlineStr">
        <is>
          <t>COMPARAISON - actuel / simplifie / calcule</t>
        </is>
      </c>
    </row>
    <row r="2">
      <c r="A2" s="2" t="inlineStr">
        <is>
          <t>La colonne qui compte est la derniere : erreur de l'hypothese ACTUELLE par rapport au calcul, en points de %.</t>
        </is>
      </c>
    </row>
    <row r="4" ht="32" customHeight="1">
      <c r="A4" s="5" t="inlineStr">
        <is>
          <t>#</t>
        </is>
      </c>
      <c r="B4" s="5" t="inlineStr">
        <is>
          <t>Pays - Pays</t>
        </is>
      </c>
      <c r="C4" s="5" t="inlineStr">
        <is>
          <t>Ligne</t>
        </is>
      </c>
      <c r="D4" s="5" t="inlineStr">
        <is>
          <t>Statut</t>
        </is>
      </c>
      <c r="E4" s="5" t="inlineStr">
        <is>
          <t>Actuel</t>
        </is>
      </c>
      <c r="F4" s="5" t="inlineStr">
        <is>
          <t>Simplifie</t>
        </is>
      </c>
      <c r="G4" s="5" t="inlineStr">
        <is>
          <t>Calcule</t>
        </is>
      </c>
      <c r="H4" s="5" t="inlineStr">
        <is>
          <t>Ecart simplifie vs calcule (pts)</t>
        </is>
      </c>
      <c r="I4" s="5" t="inlineStr">
        <is>
          <t>Ecart ACTUEL vs calcule (pts)</t>
        </is>
      </c>
    </row>
    <row r="5">
      <c r="A5" s="6" t="n">
        <v>1</v>
      </c>
      <c r="B5" s="6" t="inlineStr">
        <is>
          <t>Turkiye - Bulgarie</t>
        </is>
      </c>
      <c r="C5" s="6" t="inlineStr">
        <is>
          <t>Hamitabat - Maritsa East 3</t>
        </is>
      </c>
      <c r="D5" s="6" t="inlineStr">
        <is>
          <t>Existante</t>
        </is>
      </c>
      <c r="E5" s="11" t="n">
        <v>0.03</v>
      </c>
      <c r="F5" s="11">
        <f>'1_Simplifie'!I5</f>
        <v/>
      </c>
      <c r="G5" s="12">
        <f>'2_Calcule'!J5</f>
        <v/>
      </c>
      <c r="H5" s="14">
        <f>ROUND((F5-G5)*100,2)</f>
        <v/>
      </c>
      <c r="I5" s="15">
        <f>IF(E5="","",ROUND((E5-G5)*100,2))</f>
        <v/>
      </c>
    </row>
    <row r="6">
      <c r="A6" s="6" t="n">
        <v>2</v>
      </c>
      <c r="B6" s="6" t="inlineStr">
        <is>
          <t>Turkiye - Georgie</t>
        </is>
      </c>
      <c r="C6" s="6" t="inlineStr">
        <is>
          <t>Black Sea Transmission Network (BSTN)</t>
        </is>
      </c>
      <c r="D6" s="6" t="inlineStr">
        <is>
          <t>Existante</t>
        </is>
      </c>
      <c r="E6" s="11" t="n">
        <v>0.02</v>
      </c>
      <c r="F6" s="11">
        <f>'1_Simplifie'!I6</f>
        <v/>
      </c>
      <c r="G6" s="12">
        <f>'2_Calcule'!J6</f>
        <v/>
      </c>
      <c r="H6" s="14">
        <f>ROUND((F6-G6)*100,2)</f>
        <v/>
      </c>
      <c r="I6" s="15">
        <f>IF(E6="","",ROUND((E6-G6)*100,2))</f>
        <v/>
      </c>
    </row>
    <row r="7">
      <c r="A7" s="6" t="n">
        <v>3</v>
      </c>
      <c r="B7" s="6" t="inlineStr">
        <is>
          <t>Turkiye - Georgie</t>
        </is>
      </c>
      <c r="C7" s="6" t="inlineStr">
        <is>
          <t>Hopa / Muratlı - Batumi (Achara line)</t>
        </is>
      </c>
      <c r="D7" s="6" t="inlineStr">
        <is>
          <t>Existante</t>
        </is>
      </c>
      <c r="E7" s="11" t="n">
        <v>0.03</v>
      </c>
      <c r="F7" s="11">
        <f>'1_Simplifie'!I7</f>
        <v/>
      </c>
      <c r="G7" s="12">
        <f>'2_Calcule'!J7</f>
        <v/>
      </c>
      <c r="H7" s="14">
        <f>ROUND((F7-G7)*100,2)</f>
        <v/>
      </c>
      <c r="I7" s="15">
        <f>IF(E7="","",ROUND((E7-G7)*100,2))</f>
        <v/>
      </c>
    </row>
    <row r="8">
      <c r="A8" s="6" t="n">
        <v>4</v>
      </c>
      <c r="B8" s="6" t="inlineStr">
        <is>
          <t>Turkiye - Grece</t>
        </is>
      </c>
      <c r="C8" s="6" t="inlineStr">
        <is>
          <t>Babaeski - Nea Santa</t>
        </is>
      </c>
      <c r="D8" s="6" t="inlineStr">
        <is>
          <t>Existante</t>
        </is>
      </c>
      <c r="E8" s="11" t="n">
        <v>0.02</v>
      </c>
      <c r="F8" s="11">
        <f>'1_Simplifie'!I8</f>
        <v/>
      </c>
      <c r="G8" s="12">
        <f>'2_Calcule'!J8</f>
        <v/>
      </c>
      <c r="H8" s="14">
        <f>ROUND((F8-G8)*100,2)</f>
        <v/>
      </c>
      <c r="I8" s="15">
        <f>IF(E8="","",ROUND((E8-G8)*100,2))</f>
        <v/>
      </c>
    </row>
    <row r="9">
      <c r="A9" s="6" t="n">
        <v>5</v>
      </c>
      <c r="B9" s="6" t="inlineStr">
        <is>
          <t>Turkiye - Iran</t>
        </is>
      </c>
      <c r="C9" s="6" t="inlineStr">
        <is>
          <t>Van (B2B converter) - Khoy</t>
        </is>
      </c>
      <c r="D9" s="6" t="inlineStr">
        <is>
          <t>Existante</t>
        </is>
      </c>
      <c r="E9" s="11" t="n">
        <v>0.02</v>
      </c>
      <c r="F9" s="11">
        <f>'1_Simplifie'!I9</f>
        <v/>
      </c>
      <c r="G9" s="12">
        <f>'2_Calcule'!J9</f>
        <v/>
      </c>
      <c r="H9" s="14">
        <f>ROUND((F9-G9)*100,2)</f>
        <v/>
      </c>
      <c r="I9" s="15">
        <f>IF(E9="","",ROUND((E9-G9)*100,2))</f>
        <v/>
      </c>
    </row>
    <row r="10">
      <c r="A10" s="6" t="n">
        <v>6</v>
      </c>
      <c r="B10" s="6" t="inlineStr">
        <is>
          <t>Turkiye - Irak</t>
        </is>
      </c>
      <c r="C10" s="6" t="inlineStr">
        <is>
          <t>Silopi - Mosul (West)</t>
        </is>
      </c>
      <c r="D10" s="6" t="inlineStr">
        <is>
          <t>Existante</t>
        </is>
      </c>
      <c r="E10" s="11" t="n">
        <v>0.03</v>
      </c>
      <c r="F10" s="11">
        <f>'1_Simplifie'!I10</f>
        <v/>
      </c>
      <c r="G10" s="12">
        <f>'2_Calcule'!J10</f>
        <v/>
      </c>
      <c r="H10" s="14">
        <f>ROUND((F10-G10)*100,2)</f>
        <v/>
      </c>
      <c r="I10" s="15">
        <f>IF(E10="","",ROUND((E10-G10)*100,2))</f>
        <v/>
      </c>
    </row>
    <row r="11">
      <c r="A11" s="6" t="n">
        <v>7</v>
      </c>
      <c r="B11" s="6" t="inlineStr">
        <is>
          <t>Turkiye - Syrie</t>
        </is>
      </c>
      <c r="C11" s="6" t="inlineStr">
        <is>
          <t>Birecik HPP + 7 other crossings - Aleppo region</t>
        </is>
      </c>
      <c r="D11" s="6" t="inlineStr">
        <is>
          <t>Existante</t>
        </is>
      </c>
      <c r="E11" s="11" t="n">
        <v>0.03</v>
      </c>
      <c r="F11" s="11">
        <f>'1_Simplifie'!I11</f>
        <v/>
      </c>
      <c r="G11" s="12">
        <f>'2_Calcule'!J11</f>
        <v/>
      </c>
      <c r="H11" s="14">
        <f>ROUND((F11-G11)*100,2)</f>
        <v/>
      </c>
      <c r="I11" s="15">
        <f>IF(E11="","",ROUND((E11-G11)*100,2))</f>
        <v/>
      </c>
    </row>
    <row r="12">
      <c r="A12" s="6" t="n">
        <v>8</v>
      </c>
      <c r="B12" s="6" t="inlineStr">
        <is>
          <t>Turkiye - Syrie</t>
        </is>
      </c>
      <c r="C12" s="6" t="inlineStr">
        <is>
          <t>WB Syria Electricity Emergency Project</t>
        </is>
      </c>
      <c r="D12" s="6" t="inlineStr">
        <is>
          <t>Engagee</t>
        </is>
      </c>
      <c r="E12" s="11" t="n">
        <v>0.03</v>
      </c>
      <c r="F12" s="11">
        <f>'1_Simplifie'!I12</f>
        <v/>
      </c>
      <c r="G12" s="12">
        <f>'2_Calcule'!J12</f>
        <v/>
      </c>
      <c r="H12" s="14">
        <f>ROUND((F12-G12)*100,2)</f>
        <v/>
      </c>
      <c r="I12" s="15">
        <f>IF(E12="","",ROUND((E12-G12)*100,2))</f>
        <v/>
      </c>
    </row>
    <row r="13">
      <c r="A13" s="6" t="n">
        <v>9</v>
      </c>
      <c r="B13" s="6" t="inlineStr">
        <is>
          <t>Turkiye - Bulgarie</t>
        </is>
      </c>
      <c r="C13" s="6" t="inlineStr">
        <is>
          <t>EWTC</t>
        </is>
      </c>
      <c r="D13" s="6" t="inlineStr">
        <is>
          <t>Candidate</t>
        </is>
      </c>
      <c r="E13" s="11" t="n">
        <v>0.03</v>
      </c>
      <c r="F13" s="11">
        <f>'1_Simplifie'!I13</f>
        <v/>
      </c>
      <c r="G13" s="12">
        <f>'2_Calcule'!J13</f>
        <v/>
      </c>
      <c r="H13" s="14">
        <f>ROUND((F13-G13)*100,2)</f>
        <v/>
      </c>
      <c r="I13" s="15">
        <f>IF(E13="","",ROUND((E13-G13)*100,2))</f>
        <v/>
      </c>
    </row>
    <row r="14">
      <c r="A14" s="6" t="n">
        <v>10</v>
      </c>
      <c r="B14" s="6" t="inlineStr">
        <is>
          <t>Turkiye - Georgie</t>
        </is>
      </c>
      <c r="C14" s="6" t="inlineStr">
        <is>
          <t>BSTN Extension</t>
        </is>
      </c>
      <c r="D14" s="6" t="inlineStr">
        <is>
          <t>Candidate</t>
        </is>
      </c>
      <c r="E14" s="11" t="n">
        <v>0.02</v>
      </c>
      <c r="F14" s="11">
        <f>'1_Simplifie'!I14</f>
        <v/>
      </c>
      <c r="G14" s="12">
        <f>'2_Calcule'!J14</f>
        <v/>
      </c>
      <c r="H14" s="14">
        <f>ROUND((F14-G14)*100,2)</f>
        <v/>
      </c>
      <c r="I14" s="15">
        <f>IF(E14="","",ROUND((E14-G14)*100,2))</f>
        <v/>
      </c>
    </row>
    <row r="15">
      <c r="A15" s="6" t="n">
        <v>11</v>
      </c>
      <c r="B15" s="6" t="inlineStr">
        <is>
          <t>Turkiye - Grece</t>
        </is>
      </c>
      <c r="C15" s="6" t="inlineStr">
        <is>
          <t>EWTC</t>
        </is>
      </c>
      <c r="D15" s="6" t="inlineStr">
        <is>
          <t>Candidate</t>
        </is>
      </c>
      <c r="E15" s="11" t="n">
        <v>0.03</v>
      </c>
      <c r="F15" s="11">
        <f>'1_Simplifie'!I15</f>
        <v/>
      </c>
      <c r="G15" s="12">
        <f>'2_Calcule'!J15</f>
        <v/>
      </c>
      <c r="H15" s="14">
        <f>ROUND((F15-G15)*100,2)</f>
        <v/>
      </c>
      <c r="I15" s="15">
        <f>IF(E15="","",ROUND((E15-G15)*100,2))</f>
        <v/>
      </c>
    </row>
    <row r="16">
      <c r="A16" s="6" t="n">
        <v>12</v>
      </c>
      <c r="B16" s="6" t="inlineStr">
        <is>
          <t>Roumanie - Bulgarie</t>
        </is>
      </c>
      <c r="C16" s="6" t="inlineStr">
        <is>
          <t>Medgidia South - Varna</t>
        </is>
      </c>
      <c r="D16" s="6" t="inlineStr">
        <is>
          <t>Existante</t>
        </is>
      </c>
      <c r="E16" s="11" t="n">
        <v>0.03</v>
      </c>
      <c r="F16" s="11">
        <f>'1_Simplifie'!I16</f>
        <v/>
      </c>
      <c r="G16" s="12">
        <f>'2_Calcule'!J16</f>
        <v/>
      </c>
      <c r="H16" s="14">
        <f>ROUND((F16-G16)*100,2)</f>
        <v/>
      </c>
      <c r="I16" s="15">
        <f>IF(E16="","",ROUND((E16-G16)*100,2))</f>
        <v/>
      </c>
    </row>
    <row r="17">
      <c r="A17" s="6" t="n">
        <v>13</v>
      </c>
      <c r="B17" s="6" t="inlineStr">
        <is>
          <t>Roumanie - Bulgarie</t>
        </is>
      </c>
      <c r="C17" s="6" t="inlineStr">
        <is>
          <t>Medgidia South - Dobrudja</t>
        </is>
      </c>
      <c r="D17" s="6" t="inlineStr">
        <is>
          <t>Existante</t>
        </is>
      </c>
      <c r="E17" s="11" t="n">
        <v>0.03</v>
      </c>
      <c r="F17" s="11">
        <f>'1_Simplifie'!I17</f>
        <v/>
      </c>
      <c r="G17" s="12">
        <f>'2_Calcule'!J17</f>
        <v/>
      </c>
      <c r="H17" s="14">
        <f>ROUND((F17-G17)*100,2)</f>
        <v/>
      </c>
      <c r="I17" s="15">
        <f>IF(E17="","",ROUND((E17-G17)*100,2))</f>
        <v/>
      </c>
    </row>
    <row r="18">
      <c r="A18" s="6" t="n">
        <v>14</v>
      </c>
      <c r="B18" s="6" t="inlineStr">
        <is>
          <t>Roumanie - Bulgarie</t>
        </is>
      </c>
      <c r="C18" s="6" t="inlineStr">
        <is>
          <t>Țânțăreni - Kozloduy</t>
        </is>
      </c>
      <c r="D18" s="6" t="inlineStr">
        <is>
          <t>Existante</t>
        </is>
      </c>
      <c r="E18" s="11" t="n">
        <v>0.03</v>
      </c>
      <c r="F18" s="11">
        <f>'1_Simplifie'!I18</f>
        <v/>
      </c>
      <c r="G18" s="12">
        <f>'2_Calcule'!J18</f>
        <v/>
      </c>
      <c r="H18" s="14">
        <f>ROUND((F18-G18)*100,2)</f>
        <v/>
      </c>
      <c r="I18" s="15">
        <f>IF(E18="","",ROUND((E18-G18)*100,2))</f>
        <v/>
      </c>
    </row>
    <row r="19">
      <c r="A19" s="6" t="n">
        <v>15</v>
      </c>
      <c r="B19" s="6" t="inlineStr">
        <is>
          <t>Roumanie - Serbie</t>
        </is>
      </c>
      <c r="C19" s="6" t="inlineStr">
        <is>
          <t>Porțile de Fier (Iron Gates) - Đerdap</t>
        </is>
      </c>
      <c r="D19" s="6" t="inlineStr">
        <is>
          <t>Existante</t>
        </is>
      </c>
      <c r="E19" s="11" t="n">
        <v>0.03</v>
      </c>
      <c r="F19" s="11">
        <f>'1_Simplifie'!I19</f>
        <v/>
      </c>
      <c r="G19" s="12">
        <f>'2_Calcule'!J19</f>
        <v/>
      </c>
      <c r="H19" s="14">
        <f>ROUND((F19-G19)*100,2)</f>
        <v/>
      </c>
      <c r="I19" s="15">
        <f>IF(E19="","",ROUND((E19-G19)*100,2))</f>
        <v/>
      </c>
    </row>
    <row r="20">
      <c r="A20" s="6" t="n">
        <v>16</v>
      </c>
      <c r="B20" s="6" t="inlineStr">
        <is>
          <t>Roumanie - Serbie</t>
        </is>
      </c>
      <c r="C20" s="6" t="inlineStr">
        <is>
          <t>Mid Continental East Corridor (PCI)</t>
        </is>
      </c>
      <c r="D20" s="6" t="inlineStr">
        <is>
          <t>Existante</t>
        </is>
      </c>
      <c r="E20" s="11" t="n">
        <v>0.03</v>
      </c>
      <c r="F20" s="11">
        <f>'1_Simplifie'!I20</f>
        <v/>
      </c>
      <c r="G20" s="12">
        <f>'2_Calcule'!J20</f>
        <v/>
      </c>
      <c r="H20" s="14">
        <f>ROUND((F20-G20)*100,2)</f>
        <v/>
      </c>
      <c r="I20" s="15">
        <f>IF(E20="","",ROUND((E20-G20)*100,2))</f>
        <v/>
      </c>
    </row>
    <row r="21">
      <c r="A21" s="6" t="n">
        <v>17</v>
      </c>
      <c r="B21" s="6" t="inlineStr">
        <is>
          <t>Roumanie - Hongrie</t>
        </is>
      </c>
      <c r="C21" s="6" t="inlineStr">
        <is>
          <t>Arad - Sándorfalva</t>
        </is>
      </c>
      <c r="D21" s="6" t="inlineStr">
        <is>
          <t>Existante</t>
        </is>
      </c>
      <c r="E21" s="11" t="n">
        <v>0.03</v>
      </c>
      <c r="F21" s="11">
        <f>'1_Simplifie'!I21</f>
        <v/>
      </c>
      <c r="G21" s="12">
        <f>'2_Calcule'!J21</f>
        <v/>
      </c>
      <c r="H21" s="14">
        <f>ROUND((F21-G21)*100,2)</f>
        <v/>
      </c>
      <c r="I21" s="15">
        <f>IF(E21="","",ROUND((E21-G21)*100,2))</f>
        <v/>
      </c>
    </row>
    <row r="22">
      <c r="A22" s="6" t="n">
        <v>18</v>
      </c>
      <c r="B22" s="6" t="inlineStr">
        <is>
          <t>Roumanie - Hongrie</t>
        </is>
      </c>
      <c r="C22" s="6" t="inlineStr">
        <is>
          <t>Nădab - Békéscsaba</t>
        </is>
      </c>
      <c r="D22" s="6" t="inlineStr">
        <is>
          <t>Existante</t>
        </is>
      </c>
      <c r="E22" s="11" t="n">
        <v>0.03</v>
      </c>
      <c r="F22" s="11">
        <f>'1_Simplifie'!I22</f>
        <v/>
      </c>
      <c r="G22" s="12">
        <f>'2_Calcule'!J22</f>
        <v/>
      </c>
      <c r="H22" s="14">
        <f>ROUND((F22-G22)*100,2)</f>
        <v/>
      </c>
      <c r="I22" s="15">
        <f>IF(E22="","",ROUND((E22-G22)*100,2))</f>
        <v/>
      </c>
    </row>
    <row r="23">
      <c r="A23" s="6" t="n">
        <v>19</v>
      </c>
      <c r="B23" s="6" t="inlineStr">
        <is>
          <t>Roumanie - Ukraine</t>
        </is>
      </c>
      <c r="C23" s="6" t="inlineStr">
        <is>
          <t>Isaccea - Pivdennoukrainsk NPP (750 kV)</t>
        </is>
      </c>
      <c r="D23" s="6" t="inlineStr">
        <is>
          <t>Existante</t>
        </is>
      </c>
      <c r="E23" s="11" t="n">
        <v>0.03</v>
      </c>
      <c r="F23" s="11">
        <f>'1_Simplifie'!I23</f>
        <v/>
      </c>
      <c r="G23" s="12">
        <f>'2_Calcule'!J23</f>
        <v/>
      </c>
      <c r="H23" s="14">
        <f>ROUND((F23-G23)*100,2)</f>
        <v/>
      </c>
      <c r="I23" s="15">
        <f>IF(E23="","",ROUND((E23-G23)*100,2))</f>
        <v/>
      </c>
    </row>
    <row r="24">
      <c r="A24" s="6" t="n">
        <v>20</v>
      </c>
      <c r="B24" s="6" t="inlineStr">
        <is>
          <t>Roumanie - Ukraine</t>
        </is>
      </c>
      <c r="C24" s="6" t="inlineStr">
        <is>
          <t>Several lower-voltage crossings (Suceava, Maramureș) - Sev</t>
        </is>
      </c>
      <c r="D24" s="6" t="inlineStr">
        <is>
          <t>Existante</t>
        </is>
      </c>
      <c r="E24" s="11" t="n">
        <v>0.03</v>
      </c>
      <c r="F24" s="11">
        <f>'1_Simplifie'!I24</f>
        <v/>
      </c>
      <c r="G24" s="12">
        <f>'2_Calcule'!J24</f>
        <v/>
      </c>
      <c r="H24" s="14">
        <f>ROUND((F24-G24)*100,2)</f>
        <v/>
      </c>
      <c r="I24" s="15">
        <f>IF(E24="","",ROUND((E24-G24)*100,2))</f>
        <v/>
      </c>
    </row>
    <row r="25">
      <c r="A25" s="6" t="n">
        <v>21</v>
      </c>
      <c r="B25" s="6" t="inlineStr">
        <is>
          <t>Roumanie - Moldavie</t>
        </is>
      </c>
      <c r="C25" s="6" t="inlineStr">
        <is>
          <t>Isaccea - Vulcăneşti</t>
        </is>
      </c>
      <c r="D25" s="6" t="inlineStr">
        <is>
          <t>Existante</t>
        </is>
      </c>
      <c r="E25" s="11" t="n">
        <v>0.03</v>
      </c>
      <c r="F25" s="11">
        <f>'1_Simplifie'!I25</f>
        <v/>
      </c>
      <c r="G25" s="12">
        <f>'2_Calcule'!J25</f>
        <v/>
      </c>
      <c r="H25" s="14">
        <f>ROUND((F25-G25)*100,2)</f>
        <v/>
      </c>
      <c r="I25" s="15">
        <f>IF(E25="","",ROUND((E25-G25)*100,2))</f>
        <v/>
      </c>
    </row>
    <row r="26">
      <c r="A26" s="6" t="n">
        <v>22</v>
      </c>
      <c r="B26" s="6" t="inlineStr">
        <is>
          <t>Roumanie - Moldavie</t>
        </is>
      </c>
      <c r="C26" s="6" t="inlineStr">
        <is>
          <t>Romania-Moldova Phase I</t>
        </is>
      </c>
      <c r="D26" s="6" t="inlineStr">
        <is>
          <t>Engagee</t>
        </is>
      </c>
      <c r="E26" s="11" t="n">
        <v>0.03</v>
      </c>
      <c r="F26" s="11">
        <f>'1_Simplifie'!I26</f>
        <v/>
      </c>
      <c r="G26" s="12">
        <f>'2_Calcule'!J26</f>
        <v/>
      </c>
      <c r="H26" s="14">
        <f>ROUND((F26-G26)*100,2)</f>
        <v/>
      </c>
      <c r="I26" s="15">
        <f>IF(E26="","",ROUND((E26-G26)*100,2))</f>
        <v/>
      </c>
    </row>
    <row r="27">
      <c r="A27" s="6" t="n">
        <v>23</v>
      </c>
      <c r="B27" s="6" t="inlineStr">
        <is>
          <t>Roumanie - Serbie</t>
        </is>
      </c>
      <c r="C27" s="6" t="inlineStr">
        <is>
          <t>Mid Continental East Corridor (PCI)</t>
        </is>
      </c>
      <c r="D27" s="6" t="inlineStr">
        <is>
          <t>Candidate</t>
        </is>
      </c>
      <c r="E27" s="11" t="n">
        <v>0.03</v>
      </c>
      <c r="F27" s="11">
        <f>'1_Simplifie'!I27</f>
        <v/>
      </c>
      <c r="G27" s="12">
        <f>'2_Calcule'!J27</f>
        <v/>
      </c>
      <c r="H27" s="14">
        <f>ROUND((F27-G27)*100,2)</f>
        <v/>
      </c>
      <c r="I27" s="15">
        <f>IF(E27="","",ROUND((E27-G27)*100,2))</f>
        <v/>
      </c>
    </row>
    <row r="28">
      <c r="A28" s="6" t="n">
        <v>24</v>
      </c>
      <c r="B28" s="6" t="inlineStr">
        <is>
          <t>Roumanie - Hongrie</t>
        </is>
      </c>
      <c r="C28" s="6" t="inlineStr">
        <is>
          <t>Oradea - Józsa</t>
        </is>
      </c>
      <c r="D28" s="6" t="inlineStr">
        <is>
          <t>Candidate</t>
        </is>
      </c>
      <c r="E28" s="11" t="n">
        <v>0.03</v>
      </c>
      <c r="F28" s="11">
        <f>'1_Simplifie'!I28</f>
        <v/>
      </c>
      <c r="G28" s="12">
        <f>'2_Calcule'!J28</f>
        <v/>
      </c>
      <c r="H28" s="14">
        <f>ROUND((F28-G28)*100,2)</f>
        <v/>
      </c>
      <c r="I28" s="15">
        <f>IF(E28="","",ROUND((E28-G28)*100,2))</f>
        <v/>
      </c>
    </row>
    <row r="29">
      <c r="A29" s="6" t="n">
        <v>25</v>
      </c>
      <c r="B29" s="6" t="inlineStr">
        <is>
          <t>Roumanie - Ukraine</t>
        </is>
      </c>
      <c r="C29" s="6" t="inlineStr">
        <is>
          <t>Suceava - Chernivtsi</t>
        </is>
      </c>
      <c r="D29" s="6" t="inlineStr">
        <is>
          <t>Candidate</t>
        </is>
      </c>
      <c r="E29" s="11" t="n">
        <v>0.03</v>
      </c>
      <c r="F29" s="11">
        <f>'1_Simplifie'!I29</f>
        <v/>
      </c>
      <c r="G29" s="12">
        <f>'2_Calcule'!J29</f>
        <v/>
      </c>
      <c r="H29" s="14">
        <f>ROUND((F29-G29)*100,2)</f>
        <v/>
      </c>
      <c r="I29" s="15">
        <f>IF(E29="","",ROUND((E29-G29)*100,2))</f>
        <v/>
      </c>
    </row>
    <row r="30">
      <c r="A30" s="6" t="n">
        <v>26</v>
      </c>
      <c r="B30" s="6" t="inlineStr">
        <is>
          <t>Roumanie - Moldavie</t>
        </is>
      </c>
      <c r="C30" s="6" t="inlineStr">
        <is>
          <t>Romania-Moldova Phase II</t>
        </is>
      </c>
      <c r="D30" s="6" t="inlineStr">
        <is>
          <t>Candidate</t>
        </is>
      </c>
      <c r="E30" s="11" t="n">
        <v>0.03</v>
      </c>
      <c r="F30" s="11">
        <f>'1_Simplifie'!I30</f>
        <v/>
      </c>
      <c r="G30" s="12">
        <f>'2_Calcule'!J30</f>
        <v/>
      </c>
      <c r="H30" s="14">
        <f>ROUND((F30-G30)*100,2)</f>
        <v/>
      </c>
      <c r="I30" s="15">
        <f>IF(E30="","",ROUND((E30-G30)*100,2))</f>
        <v/>
      </c>
    </row>
    <row r="31">
      <c r="A31" s="6" t="n">
        <v>27</v>
      </c>
      <c r="B31" s="6" t="inlineStr">
        <is>
          <t>Azerbaidjan - Turkiye</t>
        </is>
      </c>
      <c r="C31" s="6" t="inlineStr">
        <is>
          <t>Sederek / Babek - Iğdır</t>
        </is>
      </c>
      <c r="D31" s="6" t="inlineStr">
        <is>
          <t>Existante</t>
        </is>
      </c>
      <c r="E31" s="11" t="n">
        <v>0.03</v>
      </c>
      <c r="F31" s="11">
        <f>'1_Simplifie'!I31</f>
        <v/>
      </c>
      <c r="G31" s="12">
        <f>'2_Calcule'!J31</f>
        <v/>
      </c>
      <c r="H31" s="14">
        <f>ROUND((F31-G31)*100,2)</f>
        <v/>
      </c>
      <c r="I31" s="15">
        <f>IF(E31="","",ROUND((E31-G31)*100,2))</f>
        <v/>
      </c>
    </row>
    <row r="32">
      <c r="A32" s="6" t="n">
        <v>28</v>
      </c>
      <c r="B32" s="6" t="inlineStr">
        <is>
          <t>Azerbaidjan - Iran</t>
        </is>
      </c>
      <c r="C32" s="6" t="inlineStr">
        <is>
          <t>Babek / Julfa - Khoy / Marand</t>
        </is>
      </c>
      <c r="D32" s="6" t="inlineStr">
        <is>
          <t>Existante</t>
        </is>
      </c>
      <c r="E32" s="11" t="n">
        <v>0.03</v>
      </c>
      <c r="F32" s="11">
        <f>'1_Simplifie'!I32</f>
        <v/>
      </c>
      <c r="G32" s="12">
        <f>'2_Calcule'!J32</f>
        <v/>
      </c>
      <c r="H32" s="14">
        <f>ROUND((F32-G32)*100,2)</f>
        <v/>
      </c>
      <c r="I32" s="15">
        <f>IF(E32="","",ROUND((E32-G32)*100,2))</f>
        <v/>
      </c>
    </row>
    <row r="33">
      <c r="A33" s="6" t="n">
        <v>29</v>
      </c>
      <c r="B33" s="6" t="inlineStr">
        <is>
          <t>Azerbaidjan - Turkiye</t>
        </is>
      </c>
      <c r="C33" s="6" t="inlineStr">
        <is>
          <t>Azerbaijan-Türkiye-Europe Green Corridor</t>
        </is>
      </c>
      <c r="D33" s="6" t="inlineStr">
        <is>
          <t>Candidate</t>
        </is>
      </c>
      <c r="E33" s="11" t="n">
        <v>0.02</v>
      </c>
      <c r="F33" s="11">
        <f>'1_Simplifie'!I33</f>
        <v/>
      </c>
      <c r="G33" s="12">
        <f>'2_Calcule'!J33</f>
        <v/>
      </c>
      <c r="H33" s="14">
        <f>ROUND((F33-G33)*100,2)</f>
        <v/>
      </c>
      <c r="I33" s="15">
        <f>IF(E33="","",ROUND((E33-G33)*100,2))</f>
        <v/>
      </c>
    </row>
    <row r="34">
      <c r="A34" s="6" t="n">
        <v>30</v>
      </c>
      <c r="B34" s="6" t="inlineStr">
        <is>
          <t>Georgie - Azerbaidjan</t>
        </is>
      </c>
      <c r="C34" s="6" t="inlineStr">
        <is>
          <t>Gardabani-500 - Samukh (Mukhrani Valley)</t>
        </is>
      </c>
      <c r="D34" s="6" t="inlineStr">
        <is>
          <t>Existante</t>
        </is>
      </c>
      <c r="E34" s="11" t="n">
        <v>0.03</v>
      </c>
      <c r="F34" s="11">
        <f>'1_Simplifie'!I34</f>
        <v/>
      </c>
      <c r="G34" s="12">
        <f>'2_Calcule'!J34</f>
        <v/>
      </c>
      <c r="H34" s="14">
        <f>ROUND((F34-G34)*100,2)</f>
        <v/>
      </c>
      <c r="I34" s="15">
        <f>IF(E34="","",ROUND((E34-G34)*100,2))</f>
        <v/>
      </c>
    </row>
    <row r="35">
      <c r="A35" s="6" t="n">
        <v>31</v>
      </c>
      <c r="B35" s="6" t="inlineStr">
        <is>
          <t>Georgie - Azerbaidjan</t>
        </is>
      </c>
      <c r="C35" s="6" t="inlineStr">
        <is>
          <t>Gardabani - Aghstafa</t>
        </is>
      </c>
      <c r="D35" s="6" t="inlineStr">
        <is>
          <t>Existante</t>
        </is>
      </c>
      <c r="E35" s="11" t="n">
        <v>0.03</v>
      </c>
      <c r="F35" s="11">
        <f>'1_Simplifie'!I35</f>
        <v/>
      </c>
      <c r="G35" s="12">
        <f>'2_Calcule'!J35</f>
        <v/>
      </c>
      <c r="H35" s="14">
        <f>ROUND((F35-G35)*100,2)</f>
        <v/>
      </c>
      <c r="I35" s="15">
        <f>IF(E35="","",ROUND((E35-G35)*100,2))</f>
        <v/>
      </c>
    </row>
    <row r="36">
      <c r="A36" s="6" t="n">
        <v>32</v>
      </c>
      <c r="B36" s="6" t="inlineStr">
        <is>
          <t>Georgie - Armenie</t>
        </is>
      </c>
      <c r="C36" s="6" t="inlineStr">
        <is>
          <t>Alaverdi - (Armenian border)</t>
        </is>
      </c>
      <c r="D36" s="6" t="inlineStr">
        <is>
          <t>Existante</t>
        </is>
      </c>
      <c r="E36" s="11" t="n">
        <v>0.03</v>
      </c>
      <c r="F36" s="11">
        <f>'1_Simplifie'!I36</f>
        <v/>
      </c>
      <c r="G36" s="12">
        <f>'2_Calcule'!J36</f>
        <v/>
      </c>
      <c r="H36" s="14">
        <f>ROUND((F36-G36)*100,2)</f>
        <v/>
      </c>
      <c r="I36" s="15">
        <f>IF(E36="","",ROUND((E36-G36)*100,2))</f>
        <v/>
      </c>
    </row>
    <row r="37">
      <c r="A37" s="6" t="n">
        <v>33</v>
      </c>
      <c r="B37" s="6" t="inlineStr">
        <is>
          <t>Georgie - Russie</t>
        </is>
      </c>
      <c r="C37" s="6" t="inlineStr">
        <is>
          <t>Kavkasioni 500 kV (Enguri/NW axis - RU)</t>
        </is>
      </c>
      <c r="D37" s="6" t="inlineStr">
        <is>
          <t>Existante</t>
        </is>
      </c>
      <c r="E37" s="11" t="n">
        <v>0.03</v>
      </c>
      <c r="F37" s="11">
        <f>'1_Simplifie'!I37</f>
        <v/>
      </c>
      <c r="G37" s="12">
        <f>'2_Calcule'!J37</f>
        <v/>
      </c>
      <c r="H37" s="14">
        <f>ROUND((F37-G37)*100,2)</f>
        <v/>
      </c>
      <c r="I37" s="15">
        <f>IF(E37="","",ROUND((E37-G37)*100,2))</f>
        <v/>
      </c>
    </row>
    <row r="38">
      <c r="A38" s="6" t="n">
        <v>34</v>
      </c>
      <c r="B38" s="6" t="inlineStr">
        <is>
          <t>Georgie - Russie</t>
        </is>
      </c>
      <c r="C38" s="6" t="inlineStr">
        <is>
          <t>Salkhino - Sochi area</t>
        </is>
      </c>
      <c r="D38" s="6" t="inlineStr">
        <is>
          <t>Existante</t>
        </is>
      </c>
      <c r="E38" s="11" t="n">
        <v>0.03</v>
      </c>
      <c r="F38" s="11">
        <f>'1_Simplifie'!I38</f>
        <v/>
      </c>
      <c r="G38" s="12">
        <f>'2_Calcule'!J38</f>
        <v/>
      </c>
      <c r="H38" s="14">
        <f>ROUND((F38-G38)*100,2)</f>
        <v/>
      </c>
      <c r="I38" s="15">
        <f>IF(E38="","",ROUND((E38-G38)*100,2))</f>
        <v/>
      </c>
    </row>
    <row r="39">
      <c r="A39" s="6" t="n">
        <v>35</v>
      </c>
      <c r="B39" s="6" t="inlineStr">
        <is>
          <t>Georgie - Russie</t>
        </is>
      </c>
      <c r="C39" s="6" t="inlineStr">
        <is>
          <t>Nakaduli - (Russian border)</t>
        </is>
      </c>
      <c r="D39" s="6" t="inlineStr">
        <is>
          <t>Existante</t>
        </is>
      </c>
      <c r="E39" s="11" t="n">
        <v>0.03</v>
      </c>
      <c r="F39" s="11">
        <f>'1_Simplifie'!I39</f>
        <v/>
      </c>
      <c r="G39" s="12">
        <f>'2_Calcule'!J39</f>
        <v/>
      </c>
      <c r="H39" s="14">
        <f>ROUND((F39-G39)*100,2)</f>
        <v/>
      </c>
      <c r="I39" s="15">
        <f>IF(E39="","",ROUND((E39-G39)*100,2))</f>
        <v/>
      </c>
    </row>
    <row r="40">
      <c r="A40" s="6" t="n">
        <v>36</v>
      </c>
      <c r="B40" s="6" t="inlineStr">
        <is>
          <t>Georgie - Armenie</t>
        </is>
      </c>
      <c r="C40" s="6" t="inlineStr">
        <is>
          <t>Caucasus Transmission Network (CTN)</t>
        </is>
      </c>
      <c r="D40" s="6" t="inlineStr">
        <is>
          <t>Candidate</t>
        </is>
      </c>
      <c r="E40" s="11" t="n">
        <v>0.02</v>
      </c>
      <c r="F40" s="11">
        <f>'1_Simplifie'!I40</f>
        <v/>
      </c>
      <c r="G40" s="12">
        <f>'2_Calcule'!J40</f>
        <v/>
      </c>
      <c r="H40" s="14">
        <f>ROUND((F40-G40)*100,2)</f>
        <v/>
      </c>
      <c r="I40" s="15">
        <f>IF(E40="","",ROUND((E40-G40)*100,2))</f>
        <v/>
      </c>
    </row>
    <row r="41">
      <c r="A41" s="6" t="n">
        <v>37</v>
      </c>
      <c r="B41" s="6" t="inlineStr">
        <is>
          <t>Georgie - Roumanie</t>
        </is>
      </c>
      <c r="C41" s="6" t="inlineStr">
        <is>
          <t>Black Sea Submarine Cable (BSSC)</t>
        </is>
      </c>
      <c r="D41" s="6" t="inlineStr">
        <is>
          <t>Candidate</t>
        </is>
      </c>
      <c r="E41" s="11" t="n">
        <v>0.02</v>
      </c>
      <c r="F41" s="11">
        <f>'1_Simplifie'!I41</f>
        <v/>
      </c>
      <c r="G41" s="12">
        <f>'2_Calcule'!J41</f>
        <v/>
      </c>
      <c r="H41" s="14">
        <f>ROUND((F41-G41)*100,2)</f>
        <v/>
      </c>
      <c r="I41" s="15">
        <f>IF(E41="","",ROUND((E41-G41)*100,2))</f>
        <v/>
      </c>
    </row>
    <row r="42">
      <c r="A42" s="6" t="n">
        <v>38</v>
      </c>
      <c r="B42" s="6" t="inlineStr">
        <is>
          <t>Bulgarie - Grece</t>
        </is>
      </c>
      <c r="C42" s="6" t="inlineStr">
        <is>
          <t>Blagoevgrad area - Thessaloniki area</t>
        </is>
      </c>
      <c r="D42" s="6" t="inlineStr">
        <is>
          <t>Existante</t>
        </is>
      </c>
      <c r="E42" s="11" t="n">
        <v>0.03</v>
      </c>
      <c r="F42" s="11">
        <f>'1_Simplifie'!I42</f>
        <v/>
      </c>
      <c r="G42" s="12">
        <f>'2_Calcule'!J42</f>
        <v/>
      </c>
      <c r="H42" s="14">
        <f>ROUND((F42-G42)*100,2)</f>
        <v/>
      </c>
      <c r="I42" s="15">
        <f>IF(E42="","",ROUND((E42-G42)*100,2))</f>
        <v/>
      </c>
    </row>
    <row r="43">
      <c r="A43" s="6" t="n">
        <v>39</v>
      </c>
      <c r="B43" s="6" t="inlineStr">
        <is>
          <t>Bulgarie - Grece</t>
        </is>
      </c>
      <c r="C43" s="6" t="inlineStr">
        <is>
          <t>BG-GR 2nd interconnection (PCI)</t>
        </is>
      </c>
      <c r="D43" s="6" t="inlineStr">
        <is>
          <t>Existante</t>
        </is>
      </c>
      <c r="E43" s="11" t="n">
        <v>0.03</v>
      </c>
      <c r="F43" s="11">
        <f>'1_Simplifie'!I43</f>
        <v/>
      </c>
      <c r="G43" s="12">
        <f>'2_Calcule'!J43</f>
        <v/>
      </c>
      <c r="H43" s="14">
        <f>ROUND((F43-G43)*100,2)</f>
        <v/>
      </c>
      <c r="I43" s="15">
        <f>IF(E43="","",ROUND((E43-G43)*100,2))</f>
        <v/>
      </c>
    </row>
    <row r="44">
      <c r="A44" s="6" t="n">
        <v>40</v>
      </c>
      <c r="B44" s="6" t="inlineStr">
        <is>
          <t>Bulgarie - Serbie</t>
        </is>
      </c>
      <c r="C44" s="6" t="inlineStr">
        <is>
          <t>Sofia West - Niš</t>
        </is>
      </c>
      <c r="D44" s="6" t="inlineStr">
        <is>
          <t>Existante</t>
        </is>
      </c>
      <c r="E44" s="11" t="n">
        <v>0.03</v>
      </c>
      <c r="F44" s="11">
        <f>'1_Simplifie'!I44</f>
        <v/>
      </c>
      <c r="G44" s="12">
        <f>'2_Calcule'!J44</f>
        <v/>
      </c>
      <c r="H44" s="14">
        <f>ROUND((F44-G44)*100,2)</f>
        <v/>
      </c>
      <c r="I44" s="15">
        <f>IF(E44="","",ROUND((E44-G44)*100,2))</f>
        <v/>
      </c>
    </row>
    <row r="45">
      <c r="A45" s="6" t="n">
        <v>41</v>
      </c>
      <c r="B45" s="6" t="inlineStr">
        <is>
          <t>Azerbaidjan - Azerbaidjan</t>
        </is>
      </c>
      <c r="C45" s="6" t="inlineStr">
        <is>
          <t>Zangezur corridor</t>
        </is>
      </c>
      <c r="D45" s="6" t="inlineStr">
        <is>
          <t>Engagee</t>
        </is>
      </c>
      <c r="E45" s="11" t="n">
        <v>0.03</v>
      </c>
      <c r="F45" s="11">
        <f>'1_Simplifie'!I45</f>
        <v/>
      </c>
      <c r="G45" s="12">
        <f>'2_Calcule'!J45</f>
        <v/>
      </c>
      <c r="H45" s="14">
        <f>ROUND((F45-G45)*100,2)</f>
        <v/>
      </c>
      <c r="I45" s="15">
        <f>IF(E45="","",ROUND((E45-G45)*100,2))</f>
        <v/>
      </c>
    </row>
    <row r="46">
      <c r="A46" s="6" t="n">
        <v>42</v>
      </c>
      <c r="B46" s="6" t="inlineStr">
        <is>
          <t>Azerbaidjan - Russie</t>
        </is>
      </c>
      <c r="C46" s="6" t="inlineStr">
        <is>
          <t>Yashma - Derbent</t>
        </is>
      </c>
      <c r="D46" s="6" t="inlineStr">
        <is>
          <t>Existante</t>
        </is>
      </c>
      <c r="E46" s="11" t="n">
        <v>0.03</v>
      </c>
      <c r="F46" s="11">
        <f>'1_Simplifie'!I46</f>
        <v/>
      </c>
      <c r="G46" s="12">
        <f>'2_Calcule'!J46</f>
        <v/>
      </c>
      <c r="H46" s="14">
        <f>ROUND((F46-G46)*100,2)</f>
        <v/>
      </c>
      <c r="I46" s="15">
        <f>IF(E46="","",ROUND((E46-G46)*100,2))</f>
        <v/>
      </c>
    </row>
    <row r="47">
      <c r="A47" s="6" t="n">
        <v>43</v>
      </c>
      <c r="B47" s="6" t="inlineStr">
        <is>
          <t>Azerbaidjan - Russie</t>
        </is>
      </c>
      <c r="C47" s="6" t="inlineStr">
        <is>
          <t>Khachmaz - Derbent</t>
        </is>
      </c>
      <c r="D47" s="6" t="inlineStr">
        <is>
          <t>Existante</t>
        </is>
      </c>
      <c r="E47" s="11" t="n">
        <v>0.03</v>
      </c>
      <c r="F47" s="11">
        <f>'1_Simplifie'!I47</f>
        <v/>
      </c>
      <c r="G47" s="12">
        <f>'2_Calcule'!J47</f>
        <v/>
      </c>
      <c r="H47" s="14">
        <f>ROUND((F47-G47)*100,2)</f>
        <v/>
      </c>
      <c r="I47" s="15">
        <f>IF(E47="","",ROUND((E47-G47)*100,2))</f>
        <v/>
      </c>
    </row>
    <row r="48">
      <c r="A48" s="6" t="n">
        <v>44</v>
      </c>
      <c r="B48" s="6" t="inlineStr">
        <is>
          <t>Azerbaidjan - Russie</t>
        </is>
      </c>
      <c r="C48" s="6" t="inlineStr">
        <is>
          <t>Yalama - Bilici</t>
        </is>
      </c>
      <c r="D48" s="6" t="inlineStr">
        <is>
          <t>Existante</t>
        </is>
      </c>
      <c r="E48" s="11" t="n">
        <v>0.03</v>
      </c>
      <c r="F48" s="11">
        <f>'1_Simplifie'!I48</f>
        <v/>
      </c>
      <c r="G48" s="12">
        <f>'2_Calcule'!J48</f>
        <v/>
      </c>
      <c r="H48" s="14">
        <f>ROUND((F48-G48)*100,2)</f>
        <v/>
      </c>
      <c r="I48" s="15">
        <f>IF(E48="","",ROUND((E48-G48)*100,2))</f>
        <v/>
      </c>
    </row>
    <row r="49">
      <c r="A49" s="6" t="n">
        <v>45</v>
      </c>
      <c r="B49" s="6" t="inlineStr">
        <is>
          <t>Azerbaidjan - Iran</t>
        </is>
      </c>
      <c r="C49" s="6" t="inlineStr">
        <is>
          <t>Imishli/Masalli/Ali Bayramli/Araz - Iran (4 PTLs combined)</t>
        </is>
      </c>
      <c r="D49" s="6" t="inlineStr">
        <is>
          <t>Existante</t>
        </is>
      </c>
      <c r="E49" s="11" t="n">
        <v>0.03</v>
      </c>
      <c r="F49" s="11">
        <f>'1_Simplifie'!I49</f>
        <v/>
      </c>
      <c r="G49" s="12">
        <f>'2_Calcule'!J49</f>
        <v/>
      </c>
      <c r="H49" s="14">
        <f>ROUND((F49-G49)*100,2)</f>
        <v/>
      </c>
      <c r="I49" s="15">
        <f>IF(E49="","",ROUND((E49-G49)*100,2))</f>
        <v/>
      </c>
    </row>
    <row r="50">
      <c r="A50" s="6" t="n">
        <v>46</v>
      </c>
      <c r="B50" s="6" t="inlineStr">
        <is>
          <t>Azerbaidjan - Russie</t>
        </is>
      </c>
      <c r="C50" s="6" t="inlineStr">
        <is>
          <t>Absheron-Yashma - Derbent (2nd line)</t>
        </is>
      </c>
      <c r="D50" s="6" t="inlineStr">
        <is>
          <t>Candidate</t>
        </is>
      </c>
      <c r="E50" s="11" t="n">
        <v>0.03</v>
      </c>
      <c r="F50" s="11">
        <f>'1_Simplifie'!I50</f>
        <v/>
      </c>
      <c r="G50" s="12">
        <f>'2_Calcule'!J50</f>
        <v/>
      </c>
      <c r="H50" s="14">
        <f>ROUND((F50-G50)*100,2)</f>
        <v/>
      </c>
      <c r="I50" s="15">
        <f>IF(E50="","",ROUND((E50-G50)*100,2))</f>
        <v/>
      </c>
    </row>
    <row r="51">
      <c r="A51" s="6" t="n">
        <v>47</v>
      </c>
      <c r="B51" s="6" t="inlineStr">
        <is>
          <t>Armenie - Turkiye</t>
        </is>
      </c>
      <c r="C51" s="6" t="inlineStr">
        <is>
          <t>Armenian border - Kars (Türkiye)</t>
        </is>
      </c>
      <c r="D51" s="6" t="inlineStr">
        <is>
          <t>Existante</t>
        </is>
      </c>
      <c r="E51" s="11" t="n">
        <v>0.03</v>
      </c>
      <c r="F51" s="11">
        <f>'1_Simplifie'!I51</f>
        <v/>
      </c>
      <c r="G51" s="12">
        <f>'2_Calcule'!J51</f>
        <v/>
      </c>
      <c r="H51" s="14">
        <f>ROUND((F51-G51)*100,2)</f>
        <v/>
      </c>
      <c r="I51" s="15">
        <f>IF(E51="","",ROUND((E51-G51)*100,2))</f>
        <v/>
      </c>
    </row>
    <row r="52">
      <c r="A52" s="6" t="n">
        <v>48</v>
      </c>
      <c r="B52" s="6" t="inlineStr">
        <is>
          <t>Armenie - Azerbaidjan</t>
        </is>
      </c>
      <c r="C52" s="6" t="inlineStr">
        <is>
          <t>Soviet-era lines (multiple) - Soviet-era lines (multiple)</t>
        </is>
      </c>
      <c r="D52" s="6" t="inlineStr">
        <is>
          <t>Existante</t>
        </is>
      </c>
      <c r="E52" s="11" t="n">
        <v>0.03</v>
      </c>
      <c r="F52" s="11">
        <f>'1_Simplifie'!I52</f>
        <v/>
      </c>
      <c r="G52" s="12">
        <f>'2_Calcule'!J52</f>
        <v/>
      </c>
      <c r="H52" s="14">
        <f>ROUND((F52-G52)*100,2)</f>
        <v/>
      </c>
      <c r="I52" s="15">
        <f>IF(E52="","",ROUND((E52-G52)*100,2))</f>
        <v/>
      </c>
    </row>
    <row r="53">
      <c r="A53" s="6" t="n">
        <v>49</v>
      </c>
      <c r="B53" s="6" t="inlineStr">
        <is>
          <t>Armenie - Iran</t>
        </is>
      </c>
      <c r="C53" s="6" t="inlineStr">
        <is>
          <t>Agarak / Meghri - Iran border (2 lines)</t>
        </is>
      </c>
      <c r="D53" s="6" t="inlineStr">
        <is>
          <t>Existante</t>
        </is>
      </c>
      <c r="E53" s="11" t="n">
        <v>0.03</v>
      </c>
      <c r="F53" s="11">
        <f>'1_Simplifie'!I53</f>
        <v/>
      </c>
      <c r="G53" s="12">
        <f>'2_Calcule'!J53</f>
        <v/>
      </c>
      <c r="H53" s="14">
        <f>ROUND((F53-G53)*100,2)</f>
        <v/>
      </c>
      <c r="I53" s="15">
        <f>IF(E53="","",ROUND((E53-G53)*100,2))</f>
        <v/>
      </c>
    </row>
    <row r="54">
      <c r="A54" s="6" t="n">
        <v>50</v>
      </c>
      <c r="B54" s="6" t="inlineStr">
        <is>
          <t>Armenie - Iran</t>
        </is>
      </c>
      <c r="C54" s="6" t="inlineStr">
        <is>
          <t>AGIR / 3rd Iran-Armenia line</t>
        </is>
      </c>
      <c r="D54" s="6" t="inlineStr">
        <is>
          <t>Engagee</t>
        </is>
      </c>
      <c r="E54" s="11" t="n">
        <v>0.03</v>
      </c>
      <c r="F54" s="11">
        <f>'1_Simplifie'!I54</f>
        <v/>
      </c>
      <c r="G54" s="12">
        <f>'2_Calcule'!J54</f>
        <v/>
      </c>
      <c r="H54" s="14">
        <f>ROUND((F54-G54)*100,2)</f>
        <v/>
      </c>
      <c r="I54" s="15">
        <f>IF(E54="","",ROUND((E54-G54)*100,2))</f>
        <v/>
      </c>
    </row>
    <row r="55">
      <c r="A55" s="6" t="n">
        <v>51</v>
      </c>
      <c r="B55" s="6" t="inlineStr">
        <is>
          <t>Georgie - Roumanie</t>
        </is>
      </c>
      <c r="C55" s="6" t="inlineStr">
        <is>
          <t>GECO (Caspian–Black Sea–Europe Green Energy Corridor)</t>
        </is>
      </c>
      <c r="D55" s="6" t="inlineStr">
        <is>
          <t>Candidate</t>
        </is>
      </c>
      <c r="E55" s="11" t="n">
        <v>0.02</v>
      </c>
      <c r="F55" s="11">
        <f>'1_Simplifie'!I55</f>
        <v/>
      </c>
      <c r="G55" s="12">
        <f>'2_Calcule'!J55</f>
        <v/>
      </c>
      <c r="H55" s="14">
        <f>ROUND((F55-G55)*100,2)</f>
        <v/>
      </c>
      <c r="I55" s="15">
        <f>IF(E55="","",ROUND((E55-G55)*100,2))</f>
        <v/>
      </c>
    </row>
    <row r="56">
      <c r="A56" s="6" t="n">
        <v>52</v>
      </c>
      <c r="B56" s="6" t="inlineStr">
        <is>
          <t>Azerbaidjan - Kazakhstan</t>
        </is>
      </c>
      <c r="C56" s="6" t="inlineStr">
        <is>
          <t>Trans-Caspian GEC / Green Corridor Alliance (GCA)</t>
        </is>
      </c>
      <c r="D56" s="6" t="inlineStr">
        <is>
          <t>Candidate</t>
        </is>
      </c>
      <c r="E56" s="11" t="n"/>
      <c r="F56" s="11">
        <f>'1_Simplifie'!I56</f>
        <v/>
      </c>
      <c r="G56" s="12">
        <f>'2_Calcule'!J56</f>
        <v/>
      </c>
      <c r="H56" s="14">
        <f>ROUND((F56-G56)*100,2)</f>
        <v/>
      </c>
      <c r="I56" s="15">
        <f>IF(E56="","",ROUND((E56-G56)*100,2))</f>
        <v/>
      </c>
    </row>
    <row r="57">
      <c r="A57" s="6" t="n">
        <v>53</v>
      </c>
      <c r="B57" s="6" t="inlineStr">
        <is>
          <t>Georgie - Russie</t>
        </is>
      </c>
      <c r="C57" s="6" t="inlineStr">
        <is>
          <t>Java - (Russian border)</t>
        </is>
      </c>
      <c r="D57" s="6" t="inlineStr">
        <is>
          <t>Existante</t>
        </is>
      </c>
      <c r="E57" s="11" t="n"/>
      <c r="F57" s="11">
        <f>'1_Simplifie'!I57</f>
        <v/>
      </c>
      <c r="G57" s="12">
        <f>'2_Calcule'!J57</f>
        <v/>
      </c>
      <c r="H57" s="14">
        <f>ROUND((F57-G57)*100,2)</f>
        <v/>
      </c>
      <c r="I57" s="15">
        <f>IF(E57="","",ROUND((E57-G57)*100,2))</f>
        <v/>
      </c>
    </row>
  </sheetData>
  <autoFilter ref="A4:I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2" customWidth="1" min="3" max="3"/>
    <col width="9" customWidth="1" min="4" max="4"/>
    <col width="12" customWidth="1" min="5" max="5"/>
    <col width="13" customWidth="1" min="6" max="6"/>
    <col width="12" customWidth="1" min="7" max="7"/>
    <col width="18" customWidth="1" min="8" max="8"/>
    <col width="18" customWidth="1" min="9" max="9"/>
    <col width="44" customWidth="1" min="10" max="10"/>
  </cols>
  <sheetData>
    <row r="1">
      <c r="A1" s="1" t="inlineStr">
        <is>
          <t>AGREGATION EN CORRIDORS EPM - ce qui alimente pLossFactorInternal.csv</t>
        </is>
      </c>
    </row>
    <row r="2">
      <c r="A2" s="2" t="inlineStr">
        <is>
          <t>EPM ne connait pas les lignes, seulement les corridors. Plusieurs lignes sont donc fondues en un seul coefficient.</t>
        </is>
      </c>
    </row>
    <row r="3">
      <c r="A3" s="2" t="inlineStr">
        <is>
          <t>'EPM aujourd'hui' = moyenne NON PONDEREE de toutes les lignes, y compris hors service et non construites.</t>
        </is>
      </c>
    </row>
    <row r="4">
      <c r="A4" s="16" t="inlineStr">
        <is>
          <t>'RECOMMANDE' = moyenne PONDEREE CAPACITE sur les seules lignes existantes en service (MW &gt; 0), valeurs simplifiees.</t>
        </is>
      </c>
    </row>
    <row r="6" ht="32" customHeight="1">
      <c r="A6" s="5" t="inlineStr">
        <is>
          <t>Corridor EPM</t>
        </is>
      </c>
      <c r="B6" s="5" t="inlineStr">
        <is>
          <t>Lignes agregees</t>
        </is>
      </c>
      <c r="C6" s="5" t="inlineStr">
        <is>
          <t>Statut</t>
        </is>
      </c>
      <c r="D6" s="5" t="inlineStr">
        <is>
          <t>MW</t>
        </is>
      </c>
      <c r="E6" s="5" t="inlineStr">
        <is>
          <t>Actuel (ligne)</t>
        </is>
      </c>
      <c r="F6" s="5" t="inlineStr">
        <is>
          <t>Simplifie (ligne)</t>
        </is>
      </c>
      <c r="G6" s="5" t="inlineStr">
        <is>
          <t>Calcule (ligne)</t>
        </is>
      </c>
      <c r="H6" s="5" t="inlineStr">
        <is>
          <t>EPM aujourd'hui (moy. non ponderee)</t>
        </is>
      </c>
      <c r="I6" s="5" t="inlineStr">
        <is>
          <t>RECOMMANDE (ponderee capacite)</t>
        </is>
      </c>
      <c r="J6" s="5" t="inlineStr">
        <is>
          <t>Base du calcul</t>
        </is>
      </c>
    </row>
    <row r="7">
      <c r="A7" s="6" t="inlineStr">
        <is>
          <t>Armenia - AzerbaijanMain</t>
        </is>
      </c>
      <c r="B7" s="6" t="inlineStr">
        <is>
          <t>Soviet-era lines (multiple) - Soviet-era lines</t>
        </is>
      </c>
      <c r="C7" s="6" t="inlineStr">
        <is>
          <t>existing</t>
        </is>
      </c>
      <c r="D7" s="6" t="n">
        <v>0</v>
      </c>
      <c r="E7" s="11" t="n">
        <v>0.03</v>
      </c>
      <c r="F7" s="11" t="n">
        <v>0.025</v>
      </c>
      <c r="G7" s="12" t="n">
        <v>0.018</v>
      </c>
      <c r="H7" s="17" t="n">
        <v>0.03</v>
      </c>
      <c r="I7" s="13" t="n">
        <v>0.025</v>
      </c>
      <c r="J7" s="18" t="inlineStr">
        <is>
          <t>aucune capacite renseignee - moyenne simple</t>
        </is>
      </c>
    </row>
    <row r="9">
      <c r="A9" s="6" t="inlineStr">
        <is>
          <t>Armenia - EastAna</t>
        </is>
      </c>
      <c r="B9" s="6" t="inlineStr">
        <is>
          <t>Armenian border - Kars (Türkiye)</t>
        </is>
      </c>
      <c r="C9" s="6" t="inlineStr">
        <is>
          <t>existing</t>
        </is>
      </c>
      <c r="D9" s="6" t="n">
        <v>0</v>
      </c>
      <c r="E9" s="11" t="n">
        <v>0.03</v>
      </c>
      <c r="F9" s="11" t="n">
        <v>0.025</v>
      </c>
      <c r="G9" s="12" t="n">
        <v>0.022</v>
      </c>
      <c r="H9" s="17" t="n">
        <v>0.03</v>
      </c>
      <c r="I9" s="13" t="n">
        <v>0.025</v>
      </c>
      <c r="J9" s="18" t="inlineStr">
        <is>
          <t>aucune capacite renseignee - moyenne simple</t>
        </is>
      </c>
    </row>
    <row r="11">
      <c r="A11" s="6" t="inlineStr">
        <is>
          <t>Armenia - Georgia</t>
        </is>
      </c>
      <c r="B11" s="6" t="inlineStr">
        <is>
          <t>Alaverdi - (Armenian border)</t>
        </is>
      </c>
      <c r="C11" s="6" t="inlineStr">
        <is>
          <t>existing</t>
        </is>
      </c>
      <c r="D11" s="6" t="n">
        <v>150</v>
      </c>
      <c r="E11" s="11" t="n">
        <v>0.03</v>
      </c>
      <c r="F11" s="11" t="n">
        <v>0.025</v>
      </c>
      <c r="G11" s="12" t="n">
        <v>0.022</v>
      </c>
      <c r="H11" s="17" t="n">
        <v>0.025</v>
      </c>
      <c r="I11" s="13" t="n">
        <v>0.025</v>
      </c>
      <c r="J11" s="6" t="inlineStr">
        <is>
          <t>existantes en service</t>
        </is>
      </c>
    </row>
    <row r="12">
      <c r="A12" s="6" t="inlineStr"/>
      <c r="B12" s="6" t="inlineStr">
        <is>
          <t>Caucasus Transmission Network (CTN)</t>
        </is>
      </c>
      <c r="C12" s="6" t="inlineStr">
        <is>
          <t>candidate</t>
        </is>
      </c>
      <c r="D12" s="6" t="n">
        <v>350</v>
      </c>
      <c r="E12" s="11" t="n">
        <v>0.02</v>
      </c>
      <c r="F12" s="11" t="n">
        <v>0.03</v>
      </c>
      <c r="G12" s="12" t="n">
        <v>0.0254</v>
      </c>
      <c r="H12" s="6" t="n"/>
      <c r="I12" s="6" t="n"/>
      <c r="J12" s="6" t="n"/>
    </row>
    <row r="14">
      <c r="A14" s="6" t="inlineStr">
        <is>
          <t>AzerbaijanMain - Georgia</t>
        </is>
      </c>
      <c r="B14" s="6" t="inlineStr">
        <is>
          <t>Gardabani-500 - Samukh (Mukhrani Valley)</t>
        </is>
      </c>
      <c r="C14" s="6" t="inlineStr">
        <is>
          <t>existing</t>
        </is>
      </c>
      <c r="D14" s="6" t="n">
        <v>700</v>
      </c>
      <c r="E14" s="11" t="n">
        <v>0.03</v>
      </c>
      <c r="F14" s="11" t="n">
        <v>0.015</v>
      </c>
      <c r="G14" s="12" t="n">
        <v>0.0142</v>
      </c>
      <c r="H14" s="17" t="n">
        <v>0.03</v>
      </c>
      <c r="I14" s="13" t="n">
        <v>0.015</v>
      </c>
      <c r="J14" s="6" t="inlineStr">
        <is>
          <t>existantes en service</t>
        </is>
      </c>
    </row>
    <row r="15">
      <c r="A15" s="6" t="inlineStr"/>
      <c r="B15" s="6" t="inlineStr">
        <is>
          <t>Gardabani - Aghstafa</t>
        </is>
      </c>
      <c r="C15" s="6" t="inlineStr">
        <is>
          <t>existing</t>
        </is>
      </c>
      <c r="D15" s="6" t="n">
        <v>300</v>
      </c>
      <c r="E15" s="11" t="n">
        <v>0.03</v>
      </c>
      <c r="F15" s="11" t="n">
        <v>0.015</v>
      </c>
      <c r="G15" s="12" t="n">
        <v>0.01</v>
      </c>
      <c r="H15" s="6" t="n"/>
      <c r="I15" s="6" t="n"/>
      <c r="J15" s="6" t="n"/>
    </row>
    <row r="17">
      <c r="A17" s="6" t="inlineStr">
        <is>
          <t>AzerbaijanMain - Nakhchivan</t>
        </is>
      </c>
      <c r="B17" s="6" t="inlineStr">
        <is>
          <t>Zangezur corridor</t>
        </is>
      </c>
      <c r="C17" s="6" t="inlineStr">
        <is>
          <t>committed</t>
        </is>
      </c>
      <c r="D17" s="6" t="n">
        <v>800</v>
      </c>
      <c r="E17" s="11" t="n">
        <v>0.03</v>
      </c>
      <c r="F17" s="11" t="n">
        <v>0.015</v>
      </c>
      <c r="G17" s="12" t="n">
        <v>0.0261</v>
      </c>
      <c r="H17" s="17" t="n">
        <v>0.03</v>
      </c>
      <c r="I17" s="13" t="n">
        <v>0.015</v>
      </c>
      <c r="J17" s="18" t="inlineStr">
        <is>
          <t>aucune ligne en service - base sur les lignes engagees/candidates</t>
        </is>
      </c>
    </row>
    <row r="19">
      <c r="A19" s="6" t="inlineStr">
        <is>
          <t>EastAna - Georgia</t>
        </is>
      </c>
      <c r="B19" s="6" t="inlineStr">
        <is>
          <t>Black Sea Transmission Network (BSTN)</t>
        </is>
      </c>
      <c r="C19" s="6" t="inlineStr">
        <is>
          <t>existing</t>
        </is>
      </c>
      <c r="D19" s="6" t="n">
        <v>700</v>
      </c>
      <c r="E19" s="11" t="n">
        <v>0.02</v>
      </c>
      <c r="F19" s="11" t="n">
        <v>0.03</v>
      </c>
      <c r="G19" s="12" t="n">
        <v>0.029</v>
      </c>
      <c r="H19" s="17" t="n">
        <v>0.02333</v>
      </c>
      <c r="I19" s="13" t="n">
        <v>0.03</v>
      </c>
      <c r="J19" s="6" t="inlineStr">
        <is>
          <t>existantes en service</t>
        </is>
      </c>
    </row>
    <row r="20">
      <c r="A20" s="6" t="inlineStr"/>
      <c r="B20" s="6" t="inlineStr">
        <is>
          <t>Hopa / Muratlı - Batumi (Achara line)</t>
        </is>
      </c>
      <c r="C20" s="6" t="inlineStr">
        <is>
          <t>existing</t>
        </is>
      </c>
      <c r="D20" s="6" t="n">
        <v>0</v>
      </c>
      <c r="E20" s="11" t="n">
        <v>0.03</v>
      </c>
      <c r="F20" s="11" t="n">
        <v>0.025</v>
      </c>
      <c r="G20" s="12" t="n">
        <v>0.014</v>
      </c>
      <c r="H20" s="6" t="n"/>
      <c r="I20" s="6" t="n"/>
      <c r="J20" s="6" t="n"/>
    </row>
    <row r="21">
      <c r="A21" s="6" t="inlineStr"/>
      <c r="B21" s="6" t="inlineStr">
        <is>
          <t>BSTN Extension</t>
        </is>
      </c>
      <c r="C21" s="6" t="inlineStr">
        <is>
          <t>candidate</t>
        </is>
      </c>
      <c r="D21" s="6" t="n">
        <v>350</v>
      </c>
      <c r="E21" s="11" t="n">
        <v>0.02</v>
      </c>
      <c r="F21" s="11" t="n">
        <v>0.03</v>
      </c>
      <c r="G21" s="12" t="n">
        <v>0.0248</v>
      </c>
      <c r="H21" s="6" t="n"/>
      <c r="I21" s="6" t="n"/>
      <c r="J21" s="6" t="n"/>
    </row>
    <row r="23">
      <c r="A23" s="6" t="inlineStr">
        <is>
          <t>EastAna - Nakhchivan</t>
        </is>
      </c>
      <c r="B23" s="6" t="inlineStr">
        <is>
          <t>Sederek / Babek - Iğdır</t>
        </is>
      </c>
      <c r="C23" s="6" t="inlineStr">
        <is>
          <t>existing</t>
        </is>
      </c>
      <c r="D23" s="6" t="n">
        <v>0</v>
      </c>
      <c r="E23" s="11" t="n">
        <v>0.03</v>
      </c>
      <c r="F23" s="11" t="n">
        <v>0.025</v>
      </c>
      <c r="G23" s="12" t="n">
        <v>0.02</v>
      </c>
      <c r="H23" s="17" t="n">
        <v>0.025</v>
      </c>
      <c r="I23" s="13" t="n">
        <v>0.03</v>
      </c>
      <c r="J23" s="18" t="inlineStr">
        <is>
          <t>aucune ligne en service - base sur les lignes engagees/candidates</t>
        </is>
      </c>
    </row>
    <row r="24">
      <c r="A24" s="6" t="inlineStr"/>
      <c r="B24" s="6" t="inlineStr">
        <is>
          <t>Azerbaijan-Türkiye-Europe Green Corridor</t>
        </is>
      </c>
      <c r="C24" s="6" t="inlineStr">
        <is>
          <t>candidate</t>
        </is>
      </c>
      <c r="D24" s="6" t="n">
        <v>1000</v>
      </c>
      <c r="E24" s="11" t="n">
        <v>0.02</v>
      </c>
      <c r="F24" s="11" t="n">
        <v>0.03</v>
      </c>
      <c r="G24" s="12" t="n">
        <v>0.0338</v>
      </c>
      <c r="H24" s="6" t="n"/>
      <c r="I24" s="6" t="n"/>
      <c r="J2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2026-08-19T11:48:50Z</dcterms:created>
  <dcterms:modified xmlns:dcterms="http://purl.org/dc/terms/" xmlns:xsi="http://www.w3.org/2001/XMLSchema-instance" xsi:type="dcterms:W3CDTF">2026-08-19T11:48:50Z</dcterms:modified>
</cp:coreProperties>
</file>