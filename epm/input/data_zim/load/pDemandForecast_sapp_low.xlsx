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load\"/>
    </mc:Choice>
  </mc:AlternateContent>
  <xr:revisionPtr revIDLastSave="0" documentId="8_{08A721AF-5368-4D26-8A0B-F8827E4BBB7B}" xr6:coauthVersionLast="47" xr6:coauthVersionMax="47" xr10:uidLastSave="{00000000-0000-0000-0000-000000000000}"/>
  <bookViews>
    <workbookView xWindow="-98" yWindow="-98" windowWidth="19396" windowHeight="11475" xr2:uid="{444CC475-F5AA-4B72-B46D-64A57344E736}"/>
  </bookViews>
  <sheets>
    <sheet name="pDemandForecast_sapp_low" sheetId="1" r:id="rId1"/>
  </sheets>
  <calcPr calcId="0"/>
</workbook>
</file>

<file path=xl/calcChain.xml><?xml version="1.0" encoding="utf-8"?>
<calcChain xmlns="http://schemas.openxmlformats.org/spreadsheetml/2006/main">
  <c r="D38" i="1" l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D37" i="1"/>
  <c r="C67" i="1"/>
  <c r="C68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37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2" i="1"/>
</calcChain>
</file>

<file path=xl/sharedStrings.xml><?xml version="1.0" encoding="utf-8"?>
<sst xmlns="http://schemas.openxmlformats.org/spreadsheetml/2006/main" count="68" uniqueCount="22">
  <si>
    <t>z</t>
  </si>
  <si>
    <t>type</t>
  </si>
  <si>
    <t>South_Africa</t>
  </si>
  <si>
    <t>Peak</t>
  </si>
  <si>
    <t>Lesotho</t>
  </si>
  <si>
    <t>Eswatini</t>
  </si>
  <si>
    <t>Zimbabwe</t>
  </si>
  <si>
    <t>Botswana</t>
  </si>
  <si>
    <t>Namibia</t>
  </si>
  <si>
    <t>Zambia</t>
  </si>
  <si>
    <t>Angola</t>
  </si>
  <si>
    <t>Tanzania</t>
  </si>
  <si>
    <t>DRC</t>
  </si>
  <si>
    <t>Malawi</t>
  </si>
  <si>
    <t>DRC_South</t>
  </si>
  <si>
    <t>Energy</t>
  </si>
  <si>
    <t>Mozambique_Central</t>
  </si>
  <si>
    <t>Mozambique_South</t>
  </si>
  <si>
    <t>Mozambique_North</t>
  </si>
  <si>
    <t>Mozal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</si>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</sst>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5AEA-2E97-4C61-B77C-021E7BA9D2EF}">
  <dimension ref="A1:AI68"/>
  <sheetViews>
    <sheetView tabSelected="1" topLeftCell="C31" zoomScale="64" workbookViewId="0">
      <selection activeCell="C37" sqref="C37:AC68"/>
    </sheetView>
  </sheetViews>
  <sheetFormatPr defaultRowHeight="14.25" x14ac:dyDescent="0.45"/>
  <cols>
    <col min="1" max="1" width="17.46484375" bestFit="1" customWidth="1"/>
    <col min="2" max="2" width="5.9296875" bestFit="1" customWidth="1"/>
  </cols>
  <sheetData>
    <row r="1" spans="1:35" x14ac:dyDescent="0.45">
      <c r="A1" t="s">
        <v>0</v>
      </c>
      <c r="B1" t="s">
        <v>1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F1" t="s">
        <v>20</v>
      </c>
      <c r="AG1" t="s">
        <v>21</v>
      </c>
      <c r="AH1">
        <v>1.2</v>
      </c>
      <c r="AI1">
        <v>1.2</v>
      </c>
    </row>
    <row r="2" spans="1:35" x14ac:dyDescent="0.45">
      <c r="A2" t="s">
        <v>2</v>
      </c>
      <c r="B2" t="s">
        <v>3</v>
      </c>
      <c r="C2">
        <v>33873</v>
      </c>
      <c r="D2">
        <v>34554</v>
      </c>
      <c r="E2">
        <v>35245</v>
      </c>
      <c r="F2">
        <v>35952</v>
      </c>
      <c r="G2">
        <v>36669</v>
      </c>
      <c r="H2">
        <v>37372</v>
      </c>
      <c r="I2">
        <v>38079</v>
      </c>
      <c r="J2">
        <v>38753</v>
      </c>
      <c r="K2">
        <v>39474</v>
      </c>
      <c r="L2">
        <v>40200</v>
      </c>
      <c r="M2">
        <v>40933</v>
      </c>
      <c r="N2">
        <v>41687</v>
      </c>
      <c r="O2">
        <v>42476</v>
      </c>
      <c r="P2">
        <v>43281</v>
      </c>
      <c r="Q2">
        <v>44101</v>
      </c>
      <c r="R2">
        <v>44936</v>
      </c>
      <c r="S2">
        <v>45787</v>
      </c>
      <c r="T2">
        <v>46655</v>
      </c>
      <c r="U2">
        <v>47538</v>
      </c>
      <c r="V2">
        <v>48439</v>
      </c>
      <c r="W2">
        <v>49356</v>
      </c>
      <c r="X2">
        <v>50291</v>
      </c>
      <c r="Y2">
        <v>51244</v>
      </c>
      <c r="Z2">
        <v>52214</v>
      </c>
      <c r="AA2">
        <v>53203</v>
      </c>
      <c r="AB2">
        <v>54211</v>
      </c>
      <c r="AC2">
        <v>55238</v>
      </c>
      <c r="AE2">
        <f>POWER((AC2/C2),(1/($AC$1-$C$1)))-1</f>
        <v>1.898695982739973E-2</v>
      </c>
      <c r="AF2">
        <f>AE2*$AH$1</f>
        <v>2.2784351792879676E-2</v>
      </c>
      <c r="AG2">
        <f>+AE2/$AI$1</f>
        <v>1.582246652283311E-2</v>
      </c>
    </row>
    <row r="3" spans="1:35" x14ac:dyDescent="0.45">
      <c r="A3" t="s">
        <v>4</v>
      </c>
      <c r="B3" t="s">
        <v>3</v>
      </c>
      <c r="C3">
        <v>204</v>
      </c>
      <c r="D3">
        <v>214.2</v>
      </c>
      <c r="E3">
        <v>224.4</v>
      </c>
      <c r="F3">
        <v>234.6</v>
      </c>
      <c r="G3">
        <v>244.8</v>
      </c>
      <c r="H3">
        <v>251.94</v>
      </c>
      <c r="I3">
        <v>259.08</v>
      </c>
      <c r="J3">
        <v>265.2</v>
      </c>
      <c r="K3">
        <v>273.36</v>
      </c>
      <c r="L3">
        <v>280.5</v>
      </c>
      <c r="M3">
        <v>287.64</v>
      </c>
      <c r="N3">
        <v>295.8</v>
      </c>
      <c r="O3">
        <v>305.50339439999999</v>
      </c>
      <c r="P3">
        <v>315.52509800000001</v>
      </c>
      <c r="Q3">
        <v>325.87555259999999</v>
      </c>
      <c r="R3">
        <v>336.56554249999999</v>
      </c>
      <c r="S3">
        <v>347.6062058</v>
      </c>
      <c r="T3">
        <v>359.00904589999999</v>
      </c>
      <c r="U3">
        <v>370.78594370000002</v>
      </c>
      <c r="V3">
        <v>382.94916970000003</v>
      </c>
      <c r="W3">
        <v>395.51139690000002</v>
      </c>
      <c r="X3">
        <v>408.48571429999998</v>
      </c>
      <c r="Y3">
        <v>421.8856399</v>
      </c>
      <c r="Z3">
        <v>435.72513529999998</v>
      </c>
      <c r="AA3">
        <v>450.01862019999999</v>
      </c>
      <c r="AB3">
        <v>464.78098720000003</v>
      </c>
      <c r="AC3">
        <v>480.02761750000002</v>
      </c>
      <c r="AE3">
        <f t="shared" ref="AE3:AE33" si="0">POWER((AC3/C3),(1/($AC$1-$C$1)))-1</f>
        <v>3.3460053660868239E-2</v>
      </c>
      <c r="AF3">
        <f>AE3*$AH$1</f>
        <v>4.0152064393041885E-2</v>
      </c>
      <c r="AG3">
        <f t="shared" ref="AG3:AG33" si="1">+AE3/$AI$1</f>
        <v>2.7883378050723533E-2</v>
      </c>
    </row>
    <row r="4" spans="1:35" x14ac:dyDescent="0.45">
      <c r="A4" t="s">
        <v>5</v>
      </c>
      <c r="B4" t="s">
        <v>3</v>
      </c>
      <c r="C4">
        <v>260</v>
      </c>
      <c r="D4">
        <v>270</v>
      </c>
      <c r="E4">
        <v>280</v>
      </c>
      <c r="F4">
        <v>290</v>
      </c>
      <c r="G4">
        <v>300</v>
      </c>
      <c r="H4">
        <v>309</v>
      </c>
      <c r="I4">
        <v>318</v>
      </c>
      <c r="J4">
        <v>327</v>
      </c>
      <c r="K4">
        <v>336</v>
      </c>
      <c r="L4">
        <v>346</v>
      </c>
      <c r="M4">
        <v>356</v>
      </c>
      <c r="N4">
        <v>366</v>
      </c>
      <c r="O4">
        <v>377.30522330000002</v>
      </c>
      <c r="P4">
        <v>388.95964900000001</v>
      </c>
      <c r="Q4">
        <v>400.9740635</v>
      </c>
      <c r="R4">
        <v>413.35958629999999</v>
      </c>
      <c r="S4">
        <v>426.12768039999997</v>
      </c>
      <c r="T4">
        <v>439.29016289999998</v>
      </c>
      <c r="U4">
        <v>452.85921589999998</v>
      </c>
      <c r="V4">
        <v>466.84739780000001</v>
      </c>
      <c r="W4">
        <v>481.26765490000003</v>
      </c>
      <c r="X4">
        <v>496.1333333</v>
      </c>
      <c r="Y4">
        <v>511.45819160000002</v>
      </c>
      <c r="Z4">
        <v>527.2564132</v>
      </c>
      <c r="AA4">
        <v>543.54261940000004</v>
      </c>
      <c r="AB4">
        <v>560.33188370000005</v>
      </c>
      <c r="AC4">
        <v>577.63974450000001</v>
      </c>
      <c r="AE4">
        <f t="shared" si="0"/>
        <v>3.1178831871056856E-2</v>
      </c>
      <c r="AF4">
        <f t="shared" ref="AF3:AF33" si="2">AE4*$AH$1</f>
        <v>3.7414598245268223E-2</v>
      </c>
      <c r="AG4">
        <f t="shared" si="1"/>
        <v>2.598235989254738E-2</v>
      </c>
    </row>
    <row r="5" spans="1:35" x14ac:dyDescent="0.45">
      <c r="A5" t="s">
        <v>6</v>
      </c>
      <c r="B5" t="s">
        <v>3</v>
      </c>
      <c r="C5">
        <v>1841</v>
      </c>
      <c r="D5">
        <v>1929.0861239999999</v>
      </c>
      <c r="E5">
        <v>2017.172249</v>
      </c>
      <c r="F5">
        <v>2105.2583730000001</v>
      </c>
      <c r="G5">
        <v>2210.961722</v>
      </c>
      <c r="H5">
        <v>2298.736629</v>
      </c>
      <c r="I5">
        <v>2389.4387430000002</v>
      </c>
      <c r="J5">
        <v>2480.896968</v>
      </c>
      <c r="K5">
        <v>2578.0100309999998</v>
      </c>
      <c r="L5">
        <v>2678.4472879999998</v>
      </c>
      <c r="M5">
        <v>2782.3529060000001</v>
      </c>
      <c r="N5">
        <v>2890.7691810000001</v>
      </c>
      <c r="O5">
        <v>3010.0907969999998</v>
      </c>
      <c r="P5">
        <v>3134.3376229999999</v>
      </c>
      <c r="Q5">
        <v>3263.7129570000002</v>
      </c>
      <c r="R5">
        <v>3398.4284870000001</v>
      </c>
      <c r="S5">
        <v>3538.704639</v>
      </c>
      <c r="T5">
        <v>3684.7709380000001</v>
      </c>
      <c r="U5">
        <v>3836.8663809999998</v>
      </c>
      <c r="V5">
        <v>3995.239834</v>
      </c>
      <c r="W5">
        <v>4160.150431</v>
      </c>
      <c r="X5">
        <v>4331.8680039999999</v>
      </c>
      <c r="Y5">
        <v>4510.6735250000002</v>
      </c>
      <c r="Z5">
        <v>4696.8595599999999</v>
      </c>
      <c r="AA5">
        <v>4890.7307529999998</v>
      </c>
      <c r="AB5">
        <v>5092.6043229999996</v>
      </c>
      <c r="AC5">
        <v>5302.8105820000001</v>
      </c>
      <c r="AE5">
        <f t="shared" si="0"/>
        <v>4.1528703796964939E-2</v>
      </c>
      <c r="AF5">
        <f t="shared" si="2"/>
        <v>4.9834444556357924E-2</v>
      </c>
      <c r="AG5">
        <f t="shared" si="1"/>
        <v>3.4607253164137451E-2</v>
      </c>
    </row>
    <row r="6" spans="1:35" x14ac:dyDescent="0.45">
      <c r="A6" t="s">
        <v>7</v>
      </c>
      <c r="B6" t="s">
        <v>3</v>
      </c>
      <c r="C6">
        <v>675.05</v>
      </c>
      <c r="D6">
        <v>703.98071430000005</v>
      </c>
      <c r="E6">
        <v>732.91142860000002</v>
      </c>
      <c r="F6">
        <v>761.8421429</v>
      </c>
      <c r="G6">
        <v>790.77285710000001</v>
      </c>
      <c r="H6">
        <v>822.77714309999999</v>
      </c>
      <c r="I6">
        <v>856.00655240000003</v>
      </c>
      <c r="J6">
        <v>889.5805914</v>
      </c>
      <c r="K6">
        <v>925.18762270000002</v>
      </c>
      <c r="L6">
        <v>962.08256849999998</v>
      </c>
      <c r="M6">
        <v>1000.285788</v>
      </c>
      <c r="N6">
        <v>1040.1685010000001</v>
      </c>
      <c r="O6">
        <v>1081.578366</v>
      </c>
      <c r="P6">
        <v>1124.6367869999999</v>
      </c>
      <c r="Q6">
        <v>1169.409396</v>
      </c>
      <c r="R6">
        <v>1215.9644350000001</v>
      </c>
      <c r="S6">
        <v>1264.3728630000001</v>
      </c>
      <c r="T6">
        <v>1314.7084669999999</v>
      </c>
      <c r="U6">
        <v>1367.047967</v>
      </c>
      <c r="V6">
        <v>1421.471141</v>
      </c>
      <c r="W6">
        <v>1478.060941</v>
      </c>
      <c r="X6">
        <v>1536.9036229999999</v>
      </c>
      <c r="Y6">
        <v>1598.088874</v>
      </c>
      <c r="Z6">
        <v>1661.709955</v>
      </c>
      <c r="AA6">
        <v>1727.8638370000001</v>
      </c>
      <c r="AB6">
        <v>1796.651353</v>
      </c>
      <c r="AC6">
        <v>1868.177351</v>
      </c>
      <c r="AE6">
        <f t="shared" si="0"/>
        <v>3.9927732580666841E-2</v>
      </c>
      <c r="AF6">
        <f t="shared" si="2"/>
        <v>4.791327909680021E-2</v>
      </c>
      <c r="AG6">
        <f t="shared" si="1"/>
        <v>3.3273110483889035E-2</v>
      </c>
    </row>
    <row r="7" spans="1:35" x14ac:dyDescent="0.45">
      <c r="A7" t="s">
        <v>8</v>
      </c>
      <c r="B7" t="s">
        <v>3</v>
      </c>
      <c r="C7">
        <v>672.08085579999999</v>
      </c>
      <c r="D7">
        <v>682.26389900000004</v>
      </c>
      <c r="E7">
        <v>692.44694230000005</v>
      </c>
      <c r="F7">
        <v>702.62998560000005</v>
      </c>
      <c r="G7">
        <v>712.81302879999998</v>
      </c>
      <c r="H7">
        <v>721.95835030000001</v>
      </c>
      <c r="I7">
        <v>731.34873960000004</v>
      </c>
      <c r="J7">
        <v>739.79165439999997</v>
      </c>
      <c r="K7">
        <v>749.00955959999999</v>
      </c>
      <c r="L7">
        <v>758.25002419999998</v>
      </c>
      <c r="M7">
        <v>767.43524049999996</v>
      </c>
      <c r="N7">
        <v>776.87743669999998</v>
      </c>
      <c r="O7">
        <v>787.03223390000005</v>
      </c>
      <c r="P7">
        <v>797.31976740000005</v>
      </c>
      <c r="Q7">
        <v>807.74177239999995</v>
      </c>
      <c r="R7">
        <v>818.30000659999996</v>
      </c>
      <c r="S7">
        <v>828.99625060000005</v>
      </c>
      <c r="T7">
        <v>839.83230839999999</v>
      </c>
      <c r="U7">
        <v>850.81000749999998</v>
      </c>
      <c r="V7">
        <v>861.93119939999997</v>
      </c>
      <c r="W7">
        <v>873.19775979999997</v>
      </c>
      <c r="X7">
        <v>884.61158869999997</v>
      </c>
      <c r="Y7">
        <v>896.17461119999996</v>
      </c>
      <c r="Z7">
        <v>907.88877739999998</v>
      </c>
      <c r="AA7">
        <v>919.75606300000004</v>
      </c>
      <c r="AB7">
        <v>931.77846939999995</v>
      </c>
      <c r="AC7">
        <v>943.95802430000003</v>
      </c>
      <c r="AE7">
        <f t="shared" si="0"/>
        <v>1.3151228343712962E-2</v>
      </c>
      <c r="AF7">
        <f t="shared" si="2"/>
        <v>1.5781474012455554E-2</v>
      </c>
      <c r="AG7">
        <f t="shared" si="1"/>
        <v>1.0959356953094135E-2</v>
      </c>
    </row>
    <row r="8" spans="1:35" x14ac:dyDescent="0.45">
      <c r="A8" t="s">
        <v>9</v>
      </c>
      <c r="B8" t="s">
        <v>3</v>
      </c>
      <c r="C8">
        <v>2285.7231870000001</v>
      </c>
      <c r="D8">
        <v>2369.3472059999999</v>
      </c>
      <c r="E8">
        <v>2462.2627830000001</v>
      </c>
      <c r="F8">
        <v>2555.178359</v>
      </c>
      <c r="G8">
        <v>2648.0939360000002</v>
      </c>
      <c r="H8">
        <v>2727.569207</v>
      </c>
      <c r="I8">
        <v>2808.6581289999999</v>
      </c>
      <c r="J8">
        <v>2888.2700089999998</v>
      </c>
      <c r="K8">
        <v>2973.075413</v>
      </c>
      <c r="L8">
        <v>3059.7267320000001</v>
      </c>
      <c r="M8">
        <v>3148.3081080000002</v>
      </c>
      <c r="N8">
        <v>3240.0897500000001</v>
      </c>
      <c r="O8">
        <v>3343.1038950000002</v>
      </c>
      <c r="P8">
        <v>3449.393231</v>
      </c>
      <c r="Q8">
        <v>3559.0618899999999</v>
      </c>
      <c r="R8">
        <v>3672.21731</v>
      </c>
      <c r="S8">
        <v>3788.9703500000001</v>
      </c>
      <c r="T8">
        <v>3909.4353900000001</v>
      </c>
      <c r="U8">
        <v>4033.7304479999998</v>
      </c>
      <c r="V8">
        <v>4161.9772949999997</v>
      </c>
      <c r="W8">
        <v>4294.3015720000003</v>
      </c>
      <c r="X8">
        <v>4430.832915</v>
      </c>
      <c r="Y8">
        <v>4571.7050820000004</v>
      </c>
      <c r="Z8">
        <v>4717.0560839999998</v>
      </c>
      <c r="AA8">
        <v>4867.0283179999997</v>
      </c>
      <c r="AB8">
        <v>5021.7687109999997</v>
      </c>
      <c r="AC8">
        <v>5181.42886</v>
      </c>
      <c r="AE8">
        <f t="shared" si="0"/>
        <v>3.1977496647840109E-2</v>
      </c>
      <c r="AF8">
        <f t="shared" si="2"/>
        <v>3.8372995977408127E-2</v>
      </c>
      <c r="AG8">
        <f t="shared" si="1"/>
        <v>2.6647913873200091E-2</v>
      </c>
    </row>
    <row r="9" spans="1:35" x14ac:dyDescent="0.45">
      <c r="A9" t="s">
        <v>10</v>
      </c>
      <c r="B9" t="s">
        <v>3</v>
      </c>
      <c r="C9">
        <v>2584.06</v>
      </c>
      <c r="D9">
        <v>3016.9</v>
      </c>
      <c r="E9">
        <v>3202.1</v>
      </c>
      <c r="F9">
        <v>3901.3</v>
      </c>
      <c r="G9">
        <v>4124.6000000000004</v>
      </c>
      <c r="H9">
        <v>4284.3</v>
      </c>
      <c r="I9">
        <v>4444.1000000000004</v>
      </c>
      <c r="J9">
        <v>4604</v>
      </c>
      <c r="K9">
        <v>4763.6000000000004</v>
      </c>
      <c r="L9">
        <v>4922.8999999999996</v>
      </c>
      <c r="M9">
        <v>5080.2</v>
      </c>
      <c r="N9">
        <v>5238.8</v>
      </c>
      <c r="O9">
        <v>5396</v>
      </c>
      <c r="P9">
        <v>7991.9</v>
      </c>
      <c r="Q9">
        <v>8212.2999999999993</v>
      </c>
      <c r="R9">
        <v>8430.7000000000007</v>
      </c>
      <c r="S9">
        <v>8647</v>
      </c>
      <c r="T9">
        <v>8864.7000000000007</v>
      </c>
      <c r="U9">
        <v>9082.1</v>
      </c>
      <c r="V9">
        <v>9299.4</v>
      </c>
      <c r="W9">
        <v>9516.7999999999993</v>
      </c>
      <c r="X9">
        <v>9734.2000000000007</v>
      </c>
      <c r="Y9">
        <v>9951.5</v>
      </c>
      <c r="Z9">
        <v>10168.9</v>
      </c>
      <c r="AA9">
        <v>10386.200000000001</v>
      </c>
      <c r="AB9">
        <v>10603.6</v>
      </c>
      <c r="AC9">
        <v>10820.9</v>
      </c>
      <c r="AE9">
        <f t="shared" si="0"/>
        <v>5.662667112897779E-2</v>
      </c>
      <c r="AF9">
        <f t="shared" si="2"/>
        <v>6.7952005354773345E-2</v>
      </c>
      <c r="AG9">
        <f t="shared" si="1"/>
        <v>4.7188892607481492E-2</v>
      </c>
    </row>
    <row r="10" spans="1:35" x14ac:dyDescent="0.45">
      <c r="A10" t="s">
        <v>11</v>
      </c>
      <c r="B10" t="s">
        <v>3</v>
      </c>
      <c r="C10">
        <v>1890.203</v>
      </c>
      <c r="D10">
        <v>1978.8062660000001</v>
      </c>
      <c r="E10">
        <v>2067.4095309999998</v>
      </c>
      <c r="F10">
        <v>2156.0127969999999</v>
      </c>
      <c r="G10">
        <v>2259.3832729999999</v>
      </c>
      <c r="H10">
        <v>2360.642848</v>
      </c>
      <c r="I10">
        <v>2465.347949</v>
      </c>
      <c r="J10">
        <v>2571.6392129999999</v>
      </c>
      <c r="K10">
        <v>2685.035813</v>
      </c>
      <c r="L10">
        <v>2802.7864869999999</v>
      </c>
      <c r="M10">
        <v>2925.233999</v>
      </c>
      <c r="N10">
        <v>3053.5905539999999</v>
      </c>
      <c r="O10">
        <v>3188.978243</v>
      </c>
      <c r="P10">
        <v>3330.3686429999998</v>
      </c>
      <c r="Q10">
        <v>3478.0279</v>
      </c>
      <c r="R10">
        <v>3632.2339569999999</v>
      </c>
      <c r="S10">
        <v>3793.2770799999998</v>
      </c>
      <c r="T10">
        <v>3961.4604060000001</v>
      </c>
      <c r="U10">
        <v>4137.1005109999996</v>
      </c>
      <c r="V10">
        <v>4320.5280089999997</v>
      </c>
      <c r="W10">
        <v>4512.08817</v>
      </c>
      <c r="X10">
        <v>4712.1415749999996</v>
      </c>
      <c r="Y10">
        <v>4921.0647900000004</v>
      </c>
      <c r="Z10">
        <v>5139.2510769999999</v>
      </c>
      <c r="AA10">
        <v>5367.1111360000004</v>
      </c>
      <c r="AB10">
        <v>5605.0738739999997</v>
      </c>
      <c r="AC10">
        <v>5853.5872170000002</v>
      </c>
      <c r="AE10">
        <f t="shared" si="0"/>
        <v>4.4434704308543571E-2</v>
      </c>
      <c r="AF10">
        <f t="shared" si="2"/>
        <v>5.3321645170252285E-2</v>
      </c>
      <c r="AG10">
        <f t="shared" si="1"/>
        <v>3.7028920257119645E-2</v>
      </c>
    </row>
    <row r="11" spans="1:35" x14ac:dyDescent="0.45">
      <c r="A11" t="s">
        <v>12</v>
      </c>
      <c r="B11" t="s">
        <v>3</v>
      </c>
      <c r="C11">
        <v>929.53269479999994</v>
      </c>
      <c r="D11">
        <v>966.7574505</v>
      </c>
      <c r="E11">
        <v>1005.427748</v>
      </c>
      <c r="F11">
        <v>1045.6448580000001</v>
      </c>
      <c r="G11">
        <v>1087.4706530000001</v>
      </c>
      <c r="H11">
        <v>1130.9694790000001</v>
      </c>
      <c r="I11">
        <v>1176.2082579999999</v>
      </c>
      <c r="J11">
        <v>1223.256588</v>
      </c>
      <c r="K11">
        <v>1272.186852</v>
      </c>
      <c r="L11">
        <v>1323.0743259999999</v>
      </c>
      <c r="M11">
        <v>1375.9972990000001</v>
      </c>
      <c r="N11">
        <v>1431.0371909999999</v>
      </c>
      <c r="O11">
        <v>1483.2914920000001</v>
      </c>
      <c r="P11">
        <v>1537.453857</v>
      </c>
      <c r="Q11">
        <v>1593.593961</v>
      </c>
      <c r="R11">
        <v>1651.7840189999999</v>
      </c>
      <c r="S11">
        <v>1712.0988870000001</v>
      </c>
      <c r="T11">
        <v>1774.6161509999999</v>
      </c>
      <c r="U11">
        <v>1839.416232</v>
      </c>
      <c r="V11">
        <v>1906.5824869999999</v>
      </c>
      <c r="W11">
        <v>1976.201317</v>
      </c>
      <c r="X11">
        <v>2048.3622770000002</v>
      </c>
      <c r="Y11">
        <v>2123.1581940000001</v>
      </c>
      <c r="Z11">
        <v>2200.6852819999999</v>
      </c>
      <c r="AA11">
        <v>2281.043271</v>
      </c>
      <c r="AB11">
        <v>2364.3355299999998</v>
      </c>
      <c r="AC11">
        <v>2450.6692050000001</v>
      </c>
      <c r="AE11">
        <f t="shared" si="0"/>
        <v>3.7989780806580109E-2</v>
      </c>
      <c r="AF11">
        <f t="shared" si="2"/>
        <v>4.5587736967896128E-2</v>
      </c>
      <c r="AG11">
        <f t="shared" si="1"/>
        <v>3.1658150672150095E-2</v>
      </c>
    </row>
    <row r="12" spans="1:35" x14ac:dyDescent="0.45">
      <c r="A12" t="s">
        <v>13</v>
      </c>
      <c r="B12" t="s">
        <v>3</v>
      </c>
      <c r="C12">
        <v>386.74</v>
      </c>
      <c r="D12">
        <v>396.91736839999999</v>
      </c>
      <c r="E12">
        <v>407.09473680000002</v>
      </c>
      <c r="F12">
        <v>417.27210530000002</v>
      </c>
      <c r="G12">
        <v>427.4494737</v>
      </c>
      <c r="H12">
        <v>442.50626460000001</v>
      </c>
      <c r="I12">
        <v>457.79749470000002</v>
      </c>
      <c r="J12">
        <v>472.97608730000002</v>
      </c>
      <c r="K12">
        <v>489.20473299999998</v>
      </c>
      <c r="L12">
        <v>505.8414252</v>
      </c>
      <c r="M12">
        <v>522.95146739999996</v>
      </c>
      <c r="N12">
        <v>540.75696249999999</v>
      </c>
      <c r="O12">
        <v>557.74067960000002</v>
      </c>
      <c r="P12">
        <v>575.25780950000001</v>
      </c>
      <c r="Q12">
        <v>593.32510509999997</v>
      </c>
      <c r="R12">
        <v>611.95984580000004</v>
      </c>
      <c r="S12">
        <v>631.17985339999996</v>
      </c>
      <c r="T12">
        <v>651.00350949999995</v>
      </c>
      <c r="U12">
        <v>671.44977319999998</v>
      </c>
      <c r="V12">
        <v>692.5381989</v>
      </c>
      <c r="W12">
        <v>714.28895520000003</v>
      </c>
      <c r="X12">
        <v>736.72284400000001</v>
      </c>
      <c r="Y12">
        <v>759.86132069999996</v>
      </c>
      <c r="Z12">
        <v>783.72651450000001</v>
      </c>
      <c r="AA12">
        <v>808.34124970000005</v>
      </c>
      <c r="AB12">
        <v>833.7290673</v>
      </c>
      <c r="AC12">
        <v>859.9142478</v>
      </c>
      <c r="AE12">
        <f t="shared" si="0"/>
        <v>3.1211008161560194E-2</v>
      </c>
      <c r="AF12">
        <f t="shared" si="2"/>
        <v>3.7453209793872233E-2</v>
      </c>
      <c r="AG12">
        <f t="shared" si="1"/>
        <v>2.6009173467966828E-2</v>
      </c>
    </row>
    <row r="13" spans="1:35" x14ac:dyDescent="0.45">
      <c r="A13" t="s">
        <v>14</v>
      </c>
      <c r="B13" t="s">
        <v>3</v>
      </c>
      <c r="C13">
        <v>2010</v>
      </c>
      <c r="D13">
        <v>2087.7348069999998</v>
      </c>
      <c r="E13">
        <v>2165.4696130000002</v>
      </c>
      <c r="F13">
        <v>2243.20442</v>
      </c>
      <c r="G13">
        <v>2320.9392269999998</v>
      </c>
      <c r="H13">
        <v>2407.5580110000001</v>
      </c>
      <c r="I13">
        <v>2497.5082870000001</v>
      </c>
      <c r="J13">
        <v>2587.458564</v>
      </c>
      <c r="K13">
        <v>2682.9613260000001</v>
      </c>
      <c r="L13">
        <v>2781.79558</v>
      </c>
      <c r="M13">
        <v>2882.850829</v>
      </c>
      <c r="N13">
        <v>2988.348066</v>
      </c>
      <c r="O13">
        <v>3097.467549</v>
      </c>
      <c r="P13">
        <v>3210.5715279999999</v>
      </c>
      <c r="Q13">
        <v>3327.8054980000002</v>
      </c>
      <c r="R13">
        <v>3449.3202630000001</v>
      </c>
      <c r="S13">
        <v>3575.2721390000002</v>
      </c>
      <c r="T13">
        <v>3705.8231449999998</v>
      </c>
      <c r="U13">
        <v>3841.1412190000001</v>
      </c>
      <c r="V13">
        <v>3981.400431</v>
      </c>
      <c r="W13">
        <v>4126.7812050000002</v>
      </c>
      <c r="X13">
        <v>4277.4705569999996</v>
      </c>
      <c r="Y13">
        <v>4433.662327</v>
      </c>
      <c r="Z13">
        <v>4595.5574379999998</v>
      </c>
      <c r="AA13">
        <v>4763.3641459999999</v>
      </c>
      <c r="AB13">
        <v>4937.2983130000002</v>
      </c>
      <c r="AC13">
        <v>5117.5836840000002</v>
      </c>
      <c r="AE13">
        <f t="shared" si="0"/>
        <v>3.6597941663470968E-2</v>
      </c>
      <c r="AF13">
        <f t="shared" si="2"/>
        <v>4.3917529996165161E-2</v>
      </c>
      <c r="AG13">
        <f t="shared" si="1"/>
        <v>3.0498284719559142E-2</v>
      </c>
    </row>
    <row r="14" spans="1:35" x14ac:dyDescent="0.45">
      <c r="A14" t="s">
        <v>16</v>
      </c>
      <c r="B14" t="s">
        <v>3</v>
      </c>
      <c r="C14">
        <v>286.78238770000002</v>
      </c>
      <c r="D14">
        <v>297.50322460000001</v>
      </c>
      <c r="E14">
        <v>308.22406160000003</v>
      </c>
      <c r="F14">
        <v>318.94489850000002</v>
      </c>
      <c r="G14">
        <v>332.34594470000002</v>
      </c>
      <c r="H14">
        <v>345.80396159999998</v>
      </c>
      <c r="I14">
        <v>359.73405780000002</v>
      </c>
      <c r="J14">
        <v>373.82241479999999</v>
      </c>
      <c r="K14">
        <v>388.7678363</v>
      </c>
      <c r="L14">
        <v>404.24419399999999</v>
      </c>
      <c r="M14">
        <v>420.27272670000002</v>
      </c>
      <c r="N14">
        <v>437.00509799999998</v>
      </c>
      <c r="O14">
        <v>454.13605799999999</v>
      </c>
      <c r="P14">
        <v>471.93856579999999</v>
      </c>
      <c r="Q14">
        <v>490.4389468</v>
      </c>
      <c r="R14">
        <v>509.66455780000001</v>
      </c>
      <c r="S14">
        <v>529.64382850000004</v>
      </c>
      <c r="T14">
        <v>550.40630329999999</v>
      </c>
      <c r="U14">
        <v>571.98268419999999</v>
      </c>
      <c r="V14">
        <v>594.40487689999998</v>
      </c>
      <c r="W14">
        <v>617.70603800000004</v>
      </c>
      <c r="X14">
        <v>641.92062410000005</v>
      </c>
      <c r="Y14">
        <v>667.08444159999999</v>
      </c>
      <c r="Z14">
        <v>693.23470169999996</v>
      </c>
      <c r="AA14">
        <v>720.41007349999995</v>
      </c>
      <c r="AB14">
        <v>748.65074230000005</v>
      </c>
      <c r="AC14">
        <v>777.99846849999994</v>
      </c>
      <c r="AE14">
        <f t="shared" si="0"/>
        <v>3.9130856042359996E-2</v>
      </c>
      <c r="AF14">
        <f t="shared" si="2"/>
        <v>4.6957027250831992E-2</v>
      </c>
      <c r="AG14">
        <f t="shared" si="1"/>
        <v>3.2609046701966668E-2</v>
      </c>
    </row>
    <row r="15" spans="1:35" x14ac:dyDescent="0.45">
      <c r="A15" t="s">
        <v>17</v>
      </c>
      <c r="B15" t="s">
        <v>3</v>
      </c>
      <c r="C15">
        <v>521.5428124</v>
      </c>
      <c r="D15">
        <v>541.03974000000005</v>
      </c>
      <c r="E15">
        <v>560.53666759999999</v>
      </c>
      <c r="F15">
        <v>580.03359520000004</v>
      </c>
      <c r="G15">
        <v>604.40475470000001</v>
      </c>
      <c r="H15">
        <v>628.87952129999996</v>
      </c>
      <c r="I15">
        <v>654.21281169999997</v>
      </c>
      <c r="J15">
        <v>679.83391570000003</v>
      </c>
      <c r="K15">
        <v>707.01367800000003</v>
      </c>
      <c r="L15">
        <v>735.15900169999998</v>
      </c>
      <c r="M15">
        <v>764.30851140000004</v>
      </c>
      <c r="N15">
        <v>794.738023</v>
      </c>
      <c r="O15">
        <v>825.89240849999999</v>
      </c>
      <c r="P15">
        <v>858.26807169999995</v>
      </c>
      <c r="Q15">
        <v>891.91288799999995</v>
      </c>
      <c r="R15">
        <v>926.87660830000004</v>
      </c>
      <c r="S15">
        <v>963.21093540000004</v>
      </c>
      <c r="T15">
        <v>1000.969598</v>
      </c>
      <c r="U15">
        <v>1040.2084319999999</v>
      </c>
      <c r="V15">
        <v>1080.9854600000001</v>
      </c>
      <c r="W15">
        <v>1123.360981</v>
      </c>
      <c r="X15">
        <v>1167.3976580000001</v>
      </c>
      <c r="Y15">
        <v>1213.1606079999999</v>
      </c>
      <c r="Z15">
        <v>1260.717504</v>
      </c>
      <c r="AA15">
        <v>1310.1386689999999</v>
      </c>
      <c r="AB15">
        <v>1361.4971849999999</v>
      </c>
      <c r="AC15">
        <v>1414.868997</v>
      </c>
      <c r="AE15">
        <f t="shared" si="0"/>
        <v>3.9130856036251327E-2</v>
      </c>
      <c r="AF15">
        <f t="shared" si="2"/>
        <v>4.6957027243501592E-2</v>
      </c>
      <c r="AG15">
        <f t="shared" si="1"/>
        <v>3.2609046696876108E-2</v>
      </c>
    </row>
    <row r="16" spans="1:35" x14ac:dyDescent="0.45">
      <c r="A16" t="s">
        <v>18</v>
      </c>
      <c r="B16" t="s">
        <v>3</v>
      </c>
      <c r="C16">
        <v>328.26763990000001</v>
      </c>
      <c r="D16">
        <v>340.53932730000002</v>
      </c>
      <c r="E16">
        <v>352.81101480000001</v>
      </c>
      <c r="F16">
        <v>365.08270229999999</v>
      </c>
      <c r="G16">
        <v>380.42231170000002</v>
      </c>
      <c r="H16">
        <v>395.82713310000003</v>
      </c>
      <c r="I16">
        <v>411.77232350000003</v>
      </c>
      <c r="J16">
        <v>427.89866849999999</v>
      </c>
      <c r="K16">
        <v>445.00605869999998</v>
      </c>
      <c r="L16">
        <v>462.72118929999999</v>
      </c>
      <c r="M16">
        <v>481.06837100000001</v>
      </c>
      <c r="N16">
        <v>500.22120699999999</v>
      </c>
      <c r="O16">
        <v>519.83029050000005</v>
      </c>
      <c r="P16">
        <v>540.20806649999997</v>
      </c>
      <c r="Q16">
        <v>561.38466819999996</v>
      </c>
      <c r="R16">
        <v>583.39140989999999</v>
      </c>
      <c r="S16">
        <v>606.26083410000001</v>
      </c>
      <c r="T16">
        <v>630.02675859999999</v>
      </c>
      <c r="U16">
        <v>654.72432700000002</v>
      </c>
      <c r="V16">
        <v>680.39006029999996</v>
      </c>
      <c r="W16">
        <v>707.06191139999999</v>
      </c>
      <c r="X16">
        <v>734.77932139999996</v>
      </c>
      <c r="Y16">
        <v>763.58327650000001</v>
      </c>
      <c r="Z16">
        <v>793.51637040000003</v>
      </c>
      <c r="AA16">
        <v>824.62286630000006</v>
      </c>
      <c r="AB16">
        <v>856.94876250000004</v>
      </c>
      <c r="AC16">
        <v>890.54186030000005</v>
      </c>
      <c r="AE16">
        <f t="shared" si="0"/>
        <v>3.9130856033490868E-2</v>
      </c>
      <c r="AF16">
        <f t="shared" si="2"/>
        <v>4.6957027240189041E-2</v>
      </c>
      <c r="AG16">
        <f t="shared" si="1"/>
        <v>3.2609046694575726E-2</v>
      </c>
    </row>
    <row r="17" spans="1:33" x14ac:dyDescent="0.45">
      <c r="A17" t="s">
        <v>19</v>
      </c>
      <c r="B17" t="s">
        <v>3</v>
      </c>
      <c r="C17">
        <v>950</v>
      </c>
      <c r="D17">
        <v>950</v>
      </c>
      <c r="E17">
        <v>950</v>
      </c>
      <c r="F17">
        <v>950</v>
      </c>
      <c r="G17">
        <v>950</v>
      </c>
      <c r="H17">
        <v>950</v>
      </c>
      <c r="I17">
        <v>950</v>
      </c>
      <c r="J17">
        <v>950</v>
      </c>
      <c r="K17">
        <v>950</v>
      </c>
      <c r="L17">
        <v>950</v>
      </c>
      <c r="M17">
        <v>950</v>
      </c>
      <c r="N17">
        <v>950</v>
      </c>
      <c r="O17">
        <v>950</v>
      </c>
      <c r="P17">
        <v>950</v>
      </c>
      <c r="Q17">
        <v>950</v>
      </c>
      <c r="R17">
        <v>950</v>
      </c>
      <c r="S17">
        <v>950</v>
      </c>
      <c r="T17">
        <v>950</v>
      </c>
      <c r="U17">
        <v>950</v>
      </c>
      <c r="V17">
        <v>950</v>
      </c>
      <c r="W17">
        <v>950</v>
      </c>
      <c r="X17">
        <v>950</v>
      </c>
      <c r="Y17">
        <v>950</v>
      </c>
      <c r="Z17">
        <v>950</v>
      </c>
      <c r="AA17">
        <v>950</v>
      </c>
      <c r="AB17">
        <v>950</v>
      </c>
      <c r="AC17">
        <v>950</v>
      </c>
      <c r="AE17">
        <f t="shared" si="0"/>
        <v>0</v>
      </c>
      <c r="AF17">
        <f t="shared" si="2"/>
        <v>0</v>
      </c>
      <c r="AG17">
        <f t="shared" si="1"/>
        <v>0</v>
      </c>
    </row>
    <row r="18" spans="1:33" x14ac:dyDescent="0.45">
      <c r="A18" t="s">
        <v>2</v>
      </c>
      <c r="B18" t="s">
        <v>15</v>
      </c>
      <c r="C18">
        <v>210648</v>
      </c>
      <c r="D18">
        <v>215421.5416</v>
      </c>
      <c r="E18">
        <v>219727.35870000001</v>
      </c>
      <c r="F18">
        <v>224688.334</v>
      </c>
      <c r="G18">
        <v>228057.84229999999</v>
      </c>
      <c r="H18">
        <v>232433.3021</v>
      </c>
      <c r="I18">
        <v>236829.39689999999</v>
      </c>
      <c r="J18">
        <v>241020.8622</v>
      </c>
      <c r="K18">
        <v>245502.93580000001</v>
      </c>
      <c r="L18">
        <v>250021.12049999999</v>
      </c>
      <c r="M18">
        <v>254579.7151</v>
      </c>
      <c r="N18">
        <v>259266.41819999999</v>
      </c>
      <c r="O18">
        <v>264114.34000000003</v>
      </c>
      <c r="P18">
        <v>269052.91119999997</v>
      </c>
      <c r="Q18">
        <v>274083.82679999998</v>
      </c>
      <c r="R18">
        <v>279208.81359999999</v>
      </c>
      <c r="S18">
        <v>284429.63050000003</v>
      </c>
      <c r="T18">
        <v>289748.06939999998</v>
      </c>
      <c r="U18">
        <v>295165.95569999999</v>
      </c>
      <c r="V18">
        <v>300685.14899999998</v>
      </c>
      <c r="W18">
        <v>306307.54350000003</v>
      </c>
      <c r="X18">
        <v>312035.06900000002</v>
      </c>
      <c r="Y18">
        <v>317869.6912</v>
      </c>
      <c r="Z18">
        <v>323813.41279999999</v>
      </c>
      <c r="AA18">
        <v>329868.27380000002</v>
      </c>
      <c r="AB18">
        <v>336036.35220000002</v>
      </c>
      <c r="AC18">
        <v>342319.76510000002</v>
      </c>
      <c r="AE18">
        <f t="shared" si="0"/>
        <v>1.885073455448838E-2</v>
      </c>
      <c r="AF18">
        <f t="shared" si="2"/>
        <v>2.2620881465386055E-2</v>
      </c>
      <c r="AG18">
        <f t="shared" si="1"/>
        <v>1.5708945462073652E-2</v>
      </c>
    </row>
    <row r="19" spans="1:33" x14ac:dyDescent="0.45">
      <c r="A19" t="s">
        <v>4</v>
      </c>
      <c r="B19" t="s">
        <v>15</v>
      </c>
      <c r="C19">
        <v>1043</v>
      </c>
      <c r="D19">
        <v>1077</v>
      </c>
      <c r="E19">
        <v>1109</v>
      </c>
      <c r="F19">
        <v>1143</v>
      </c>
      <c r="G19">
        <v>1171</v>
      </c>
      <c r="H19">
        <v>1204</v>
      </c>
      <c r="I19">
        <v>1237</v>
      </c>
      <c r="J19">
        <v>1270</v>
      </c>
      <c r="K19">
        <v>1305</v>
      </c>
      <c r="L19">
        <v>1342</v>
      </c>
      <c r="M19">
        <v>1378</v>
      </c>
      <c r="N19">
        <v>1415</v>
      </c>
      <c r="O19">
        <v>1454.1543730000001</v>
      </c>
      <c r="P19">
        <v>1494.3921829999999</v>
      </c>
      <c r="Q19">
        <v>1535.743412</v>
      </c>
      <c r="R19">
        <v>1578.238867</v>
      </c>
      <c r="S19">
        <v>1621.910212</v>
      </c>
      <c r="T19">
        <v>1666.7899829999999</v>
      </c>
      <c r="U19">
        <v>1712.9116200000001</v>
      </c>
      <c r="V19">
        <v>1760.309485</v>
      </c>
      <c r="W19">
        <v>1809.018894</v>
      </c>
      <c r="X19">
        <v>1859.076137</v>
      </c>
      <c r="Y19">
        <v>1910.5185120000001</v>
      </c>
      <c r="Z19">
        <v>1963.3843449999999</v>
      </c>
      <c r="AA19">
        <v>2017.7130239999999</v>
      </c>
      <c r="AB19">
        <v>2073.5450300000002</v>
      </c>
      <c r="AC19">
        <v>2130.9219589999998</v>
      </c>
      <c r="AE19">
        <f t="shared" si="0"/>
        <v>2.7860012214061314E-2</v>
      </c>
      <c r="AF19">
        <f t="shared" si="2"/>
        <v>3.3432014656873572E-2</v>
      </c>
      <c r="AG19">
        <f t="shared" si="1"/>
        <v>2.3216676845051097E-2</v>
      </c>
    </row>
    <row r="20" spans="1:33" x14ac:dyDescent="0.45">
      <c r="A20" t="s">
        <v>5</v>
      </c>
      <c r="B20" t="s">
        <v>15</v>
      </c>
      <c r="C20">
        <v>1352</v>
      </c>
      <c r="D20">
        <v>1391.629175</v>
      </c>
      <c r="E20">
        <v>1428.493524</v>
      </c>
      <c r="F20">
        <v>1479.182004</v>
      </c>
      <c r="G20">
        <v>1516.046353</v>
      </c>
      <c r="H20">
        <v>1560.283572</v>
      </c>
      <c r="I20">
        <v>1607.285617</v>
      </c>
      <c r="J20">
        <v>1652.444444</v>
      </c>
      <c r="K20">
        <v>1700.3680979999999</v>
      </c>
      <c r="L20">
        <v>1750.134969</v>
      </c>
      <c r="M20">
        <v>1799.90184</v>
      </c>
      <c r="N20">
        <v>1852.433538</v>
      </c>
      <c r="O20">
        <v>1906.1827989999999</v>
      </c>
      <c r="P20">
        <v>1961.4916209999999</v>
      </c>
      <c r="Q20">
        <v>2018.4052549999999</v>
      </c>
      <c r="R20">
        <v>2076.9702659999998</v>
      </c>
      <c r="S20">
        <v>2137.2345700000001</v>
      </c>
      <c r="T20">
        <v>2199.2474710000001</v>
      </c>
      <c r="U20">
        <v>2263.0597069999999</v>
      </c>
      <c r="V20">
        <v>2328.7234859999999</v>
      </c>
      <c r="W20">
        <v>2396.2925319999999</v>
      </c>
      <c r="X20">
        <v>2465.8221269999999</v>
      </c>
      <c r="Y20">
        <v>2537.3691560000002</v>
      </c>
      <c r="Z20">
        <v>2610.9921570000001</v>
      </c>
      <c r="AA20">
        <v>2686.751366</v>
      </c>
      <c r="AB20">
        <v>2764.7087649999999</v>
      </c>
      <c r="AC20">
        <v>2844.928136</v>
      </c>
      <c r="AE20">
        <f t="shared" si="0"/>
        <v>2.9026871171430546E-2</v>
      </c>
      <c r="AF20">
        <f t="shared" si="2"/>
        <v>3.4832245405716653E-2</v>
      </c>
      <c r="AG20">
        <f t="shared" si="1"/>
        <v>2.4189059309525456E-2</v>
      </c>
    </row>
    <row r="21" spans="1:33" x14ac:dyDescent="0.45">
      <c r="A21" t="s">
        <v>6</v>
      </c>
      <c r="B21" t="s">
        <v>15</v>
      </c>
      <c r="C21">
        <v>11302.301810000001</v>
      </c>
      <c r="D21">
        <v>11795.414430000001</v>
      </c>
      <c r="E21">
        <v>12272.294190000001</v>
      </c>
      <c r="F21">
        <v>12800.12182</v>
      </c>
      <c r="G21">
        <v>13256.790150000001</v>
      </c>
      <c r="H21">
        <v>13783.09713</v>
      </c>
      <c r="I21">
        <v>14326.953949999999</v>
      </c>
      <c r="J21">
        <v>14875.34915</v>
      </c>
      <c r="K21">
        <v>15457.650009999999</v>
      </c>
      <c r="L21">
        <v>16059.883589999999</v>
      </c>
      <c r="M21">
        <v>16682.915300000001</v>
      </c>
      <c r="N21">
        <v>17332.993630000001</v>
      </c>
      <c r="O21">
        <v>18013.14789</v>
      </c>
      <c r="P21">
        <v>18719.991709999998</v>
      </c>
      <c r="Q21">
        <v>19454.572380000001</v>
      </c>
      <c r="R21">
        <v>20217.978319999998</v>
      </c>
      <c r="S21">
        <v>21011.340649999998</v>
      </c>
      <c r="T21">
        <v>21835.834859999999</v>
      </c>
      <c r="U21">
        <v>22692.68259</v>
      </c>
      <c r="V21">
        <v>23583.153389999999</v>
      </c>
      <c r="W21">
        <v>24508.56666</v>
      </c>
      <c r="X21">
        <v>25470.293559999998</v>
      </c>
      <c r="Y21">
        <v>26469.759030000001</v>
      </c>
      <c r="Z21">
        <v>27508.44397</v>
      </c>
      <c r="AA21">
        <v>28587.887360000001</v>
      </c>
      <c r="AB21">
        <v>29709.688590000002</v>
      </c>
      <c r="AC21">
        <v>30875.50978</v>
      </c>
      <c r="AE21">
        <f t="shared" si="0"/>
        <v>3.9408902400515755E-2</v>
      </c>
      <c r="AF21">
        <f t="shared" si="2"/>
        <v>4.7290682880618905E-2</v>
      </c>
      <c r="AG21">
        <f t="shared" si="1"/>
        <v>3.2840752000429796E-2</v>
      </c>
    </row>
    <row r="22" spans="1:33" x14ac:dyDescent="0.45">
      <c r="A22" t="s">
        <v>7</v>
      </c>
      <c r="B22" t="s">
        <v>15</v>
      </c>
      <c r="C22">
        <v>4154.7816970000003</v>
      </c>
      <c r="D22">
        <v>4342.093871</v>
      </c>
      <c r="E22">
        <v>4518.9387420000003</v>
      </c>
      <c r="F22">
        <v>4717.2762140000004</v>
      </c>
      <c r="G22">
        <v>4890.9204769999997</v>
      </c>
      <c r="H22">
        <v>5088.8665950000004</v>
      </c>
      <c r="I22">
        <v>5294.3900860000003</v>
      </c>
      <c r="J22">
        <v>5502.0451080000003</v>
      </c>
      <c r="K22">
        <v>5722.2741619999997</v>
      </c>
      <c r="L22">
        <v>5950.4689520000002</v>
      </c>
      <c r="M22">
        <v>6186.7553959999996</v>
      </c>
      <c r="N22">
        <v>6433.4294909999999</v>
      </c>
      <c r="O22">
        <v>6691.398263</v>
      </c>
      <c r="P22">
        <v>6959.711112</v>
      </c>
      <c r="Q22">
        <v>7238.7828159999999</v>
      </c>
      <c r="R22">
        <v>7529.0447860000004</v>
      </c>
      <c r="S22">
        <v>7830.9457300000004</v>
      </c>
      <c r="T22">
        <v>8144.9523509999999</v>
      </c>
      <c r="U22">
        <v>8471.5500639999991</v>
      </c>
      <c r="V22">
        <v>8811.2437489999993</v>
      </c>
      <c r="W22">
        <v>9164.5585300000002</v>
      </c>
      <c r="X22">
        <v>9532.0405879999998</v>
      </c>
      <c r="Y22">
        <v>9914.258006</v>
      </c>
      <c r="Z22">
        <v>10311.80164</v>
      </c>
      <c r="AA22">
        <v>10725.28606</v>
      </c>
      <c r="AB22">
        <v>11155.35044</v>
      </c>
      <c r="AC22">
        <v>11602.65962</v>
      </c>
      <c r="AE22">
        <f t="shared" si="0"/>
        <v>4.0289477093039094E-2</v>
      </c>
      <c r="AF22">
        <f t="shared" si="2"/>
        <v>4.8347372511646912E-2</v>
      </c>
      <c r="AG22">
        <f t="shared" si="1"/>
        <v>3.3574564244199245E-2</v>
      </c>
    </row>
    <row r="23" spans="1:33" x14ac:dyDescent="0.45">
      <c r="A23" t="s">
        <v>8</v>
      </c>
      <c r="B23" t="s">
        <v>15</v>
      </c>
      <c r="C23">
        <v>4290.8015969999997</v>
      </c>
      <c r="D23">
        <v>4355.1456170000001</v>
      </c>
      <c r="E23">
        <v>4408.7108820000003</v>
      </c>
      <c r="F23">
        <v>4485.4537339999997</v>
      </c>
      <c r="G23">
        <v>4524.933747</v>
      </c>
      <c r="H23">
        <v>4582.9882040000002</v>
      </c>
      <c r="I23">
        <v>4642.5983509999996</v>
      </c>
      <c r="J23">
        <v>4696.1939350000002</v>
      </c>
      <c r="K23">
        <v>4754.7091529999998</v>
      </c>
      <c r="L23">
        <v>4813.3675789999998</v>
      </c>
      <c r="M23">
        <v>4871.6752889999998</v>
      </c>
      <c r="N23">
        <v>4931.6143060000004</v>
      </c>
      <c r="O23">
        <v>4993.3009949999996</v>
      </c>
      <c r="P23">
        <v>5055.7592880000002</v>
      </c>
      <c r="Q23">
        <v>5118.998834</v>
      </c>
      <c r="R23">
        <v>5183.0294080000003</v>
      </c>
      <c r="S23">
        <v>5247.8609029999998</v>
      </c>
      <c r="T23">
        <v>5313.5033370000001</v>
      </c>
      <c r="U23">
        <v>5379.9668540000002</v>
      </c>
      <c r="V23">
        <v>5447.261724</v>
      </c>
      <c r="W23">
        <v>5515.3983470000003</v>
      </c>
      <c r="X23">
        <v>5584.3872510000001</v>
      </c>
      <c r="Y23">
        <v>5654.2390969999997</v>
      </c>
      <c r="Z23">
        <v>5724.9646789999997</v>
      </c>
      <c r="AA23">
        <v>5796.5749260000002</v>
      </c>
      <c r="AB23">
        <v>5869.0809040000004</v>
      </c>
      <c r="AC23">
        <v>5942.4938169999996</v>
      </c>
      <c r="AE23">
        <f t="shared" si="0"/>
        <v>1.2603973195186802E-2</v>
      </c>
      <c r="AF23">
        <f t="shared" si="2"/>
        <v>1.5124767834224161E-2</v>
      </c>
      <c r="AG23">
        <f t="shared" si="1"/>
        <v>1.0503310995989001E-2</v>
      </c>
    </row>
    <row r="24" spans="1:33" x14ac:dyDescent="0.45">
      <c r="A24" t="s">
        <v>9</v>
      </c>
      <c r="B24" t="s">
        <v>15</v>
      </c>
      <c r="C24">
        <v>13925</v>
      </c>
      <c r="D24">
        <v>14390</v>
      </c>
      <c r="E24">
        <v>14834</v>
      </c>
      <c r="F24">
        <v>15337</v>
      </c>
      <c r="G24">
        <v>15725</v>
      </c>
      <c r="H24">
        <v>16197</v>
      </c>
      <c r="I24">
        <v>16679</v>
      </c>
      <c r="J24">
        <v>17151</v>
      </c>
      <c r="K24">
        <v>17655</v>
      </c>
      <c r="L24">
        <v>18169</v>
      </c>
      <c r="M24">
        <v>18695</v>
      </c>
      <c r="N24">
        <v>19241</v>
      </c>
      <c r="O24">
        <v>19808.168610000001</v>
      </c>
      <c r="P24">
        <v>20392.055700000001</v>
      </c>
      <c r="Q24">
        <v>20993.15408</v>
      </c>
      <c r="R24">
        <v>21611.971089999999</v>
      </c>
      <c r="S24">
        <v>22249.029020000002</v>
      </c>
      <c r="T24">
        <v>22904.865559999998</v>
      </c>
      <c r="U24">
        <v>23580.034250000001</v>
      </c>
      <c r="V24">
        <v>24275.104950000001</v>
      </c>
      <c r="W24">
        <v>24990.6643</v>
      </c>
      <c r="X24">
        <v>25727.31626</v>
      </c>
      <c r="Y24">
        <v>26485.682570000001</v>
      </c>
      <c r="Z24">
        <v>27266.403320000001</v>
      </c>
      <c r="AA24">
        <v>28070.137429999999</v>
      </c>
      <c r="AB24">
        <v>28897.563289999998</v>
      </c>
      <c r="AC24">
        <v>29749.379239999998</v>
      </c>
      <c r="AE24">
        <f t="shared" si="0"/>
        <v>2.9627430108628561E-2</v>
      </c>
      <c r="AF24">
        <f t="shared" si="2"/>
        <v>3.5552916130354273E-2</v>
      </c>
      <c r="AG24">
        <f t="shared" si="1"/>
        <v>2.4689525090523801E-2</v>
      </c>
    </row>
    <row r="25" spans="1:33" x14ac:dyDescent="0.45">
      <c r="A25" t="s">
        <v>10</v>
      </c>
      <c r="B25" t="s">
        <v>15</v>
      </c>
      <c r="C25">
        <v>16110.71032</v>
      </c>
      <c r="D25">
        <v>16637.871429999999</v>
      </c>
      <c r="E25">
        <v>17137.945210000002</v>
      </c>
      <c r="F25">
        <v>17697.402760000001</v>
      </c>
      <c r="G25">
        <v>18132.883669999999</v>
      </c>
      <c r="H25">
        <v>18664.212070000001</v>
      </c>
      <c r="I25">
        <v>19205.95866</v>
      </c>
      <c r="J25">
        <v>19740.412520000002</v>
      </c>
      <c r="K25">
        <v>20310.288260000001</v>
      </c>
      <c r="L25">
        <v>20895.791310000001</v>
      </c>
      <c r="M25">
        <v>21494.838029999999</v>
      </c>
      <c r="N25">
        <v>22118.888439999999</v>
      </c>
      <c r="O25">
        <v>22757.777740000001</v>
      </c>
      <c r="P25">
        <v>23415.120930000001</v>
      </c>
      <c r="Q25">
        <v>24091.45103</v>
      </c>
      <c r="R25">
        <v>24787.316480000001</v>
      </c>
      <c r="S25">
        <v>25503.28154</v>
      </c>
      <c r="T25">
        <v>26239.926769999998</v>
      </c>
      <c r="U25">
        <v>26997.8495</v>
      </c>
      <c r="V25">
        <v>27777.66433</v>
      </c>
      <c r="W25">
        <v>28580.003580000001</v>
      </c>
      <c r="X25">
        <v>29405.51787</v>
      </c>
      <c r="Y25">
        <v>30254.87659</v>
      </c>
      <c r="Z25">
        <v>31128.768459999999</v>
      </c>
      <c r="AA25">
        <v>32027.902119999999</v>
      </c>
      <c r="AB25">
        <v>32953.006650000003</v>
      </c>
      <c r="AC25">
        <v>33904.83221</v>
      </c>
      <c r="AE25">
        <f t="shared" si="0"/>
        <v>2.9031637529110865E-2</v>
      </c>
      <c r="AF25">
        <f t="shared" si="2"/>
        <v>3.4837965034933034E-2</v>
      </c>
      <c r="AG25">
        <f t="shared" si="1"/>
        <v>2.4193031274259057E-2</v>
      </c>
    </row>
    <row r="26" spans="1:33" x14ac:dyDescent="0.45">
      <c r="A26" t="s">
        <v>11</v>
      </c>
      <c r="B26" t="s">
        <v>15</v>
      </c>
      <c r="C26">
        <v>11592.56034</v>
      </c>
      <c r="D26">
        <v>12153.14517</v>
      </c>
      <c r="E26">
        <v>12714.707710000001</v>
      </c>
      <c r="F26">
        <v>13326.088019999999</v>
      </c>
      <c r="G26">
        <v>13861.48677</v>
      </c>
      <c r="H26">
        <v>14482.721890000001</v>
      </c>
      <c r="I26">
        <v>15125.095590000001</v>
      </c>
      <c r="J26">
        <v>15777.200500000001</v>
      </c>
      <c r="K26">
        <v>16472.897199999999</v>
      </c>
      <c r="L26">
        <v>17195.30646</v>
      </c>
      <c r="M26">
        <v>17946.531180000002</v>
      </c>
      <c r="N26">
        <v>18734.008330000001</v>
      </c>
      <c r="O26">
        <v>19562.52506</v>
      </c>
      <c r="P26">
        <v>20427.68318</v>
      </c>
      <c r="Q26">
        <v>21331.103159999999</v>
      </c>
      <c r="R26">
        <v>22274.477139999999</v>
      </c>
      <c r="S26">
        <v>23259.572090000001</v>
      </c>
      <c r="T26">
        <v>24288.23315</v>
      </c>
      <c r="U26">
        <v>25362.387019999998</v>
      </c>
      <c r="V26">
        <v>26484.04565</v>
      </c>
      <c r="W26">
        <v>27655.309949999999</v>
      </c>
      <c r="X26">
        <v>28878.373729999999</v>
      </c>
      <c r="Y26">
        <v>30155.527849999999</v>
      </c>
      <c r="Z26">
        <v>31489.16447</v>
      </c>
      <c r="AA26">
        <v>32881.781540000004</v>
      </c>
      <c r="AB26">
        <v>34335.987480000003</v>
      </c>
      <c r="AC26">
        <v>35854.506090000003</v>
      </c>
      <c r="AE26">
        <f t="shared" si="0"/>
        <v>4.4383900527802389E-2</v>
      </c>
      <c r="AF26">
        <f t="shared" si="2"/>
        <v>5.3260680633362867E-2</v>
      </c>
      <c r="AG26">
        <f t="shared" si="1"/>
        <v>3.6986583773168658E-2</v>
      </c>
    </row>
    <row r="27" spans="1:33" x14ac:dyDescent="0.45">
      <c r="A27" t="s">
        <v>12</v>
      </c>
      <c r="B27" t="s">
        <v>15</v>
      </c>
      <c r="C27">
        <v>6849.1511639999999</v>
      </c>
      <c r="D27">
        <v>7123.1172109999998</v>
      </c>
      <c r="E27">
        <v>7408.0418989999998</v>
      </c>
      <c r="F27">
        <v>7704.3635750000003</v>
      </c>
      <c r="G27">
        <v>8012.5381180000004</v>
      </c>
      <c r="H27">
        <v>8333.0396430000001</v>
      </c>
      <c r="I27">
        <v>8666.3612279999998</v>
      </c>
      <c r="J27">
        <v>9013.0156779999998</v>
      </c>
      <c r="K27">
        <v>9373.5363049999996</v>
      </c>
      <c r="L27">
        <v>9748.4777570000006</v>
      </c>
      <c r="M27">
        <v>10138.416869999999</v>
      </c>
      <c r="N27">
        <v>10543.95354</v>
      </c>
      <c r="O27">
        <v>10965.71168</v>
      </c>
      <c r="P27">
        <v>11404.34015</v>
      </c>
      <c r="Q27">
        <v>11860.51375</v>
      </c>
      <c r="R27">
        <v>12334.934300000001</v>
      </c>
      <c r="S27">
        <v>12828.331679999999</v>
      </c>
      <c r="T27">
        <v>13341.46494</v>
      </c>
      <c r="U27">
        <v>13875.123540000001</v>
      </c>
      <c r="V27">
        <v>14430.128479999999</v>
      </c>
      <c r="W27">
        <v>15007.333619999999</v>
      </c>
      <c r="X27">
        <v>15607.62696</v>
      </c>
      <c r="Y27">
        <v>16231.93204</v>
      </c>
      <c r="Z27">
        <v>16881.209320000002</v>
      </c>
      <c r="AA27">
        <v>17556.457699999999</v>
      </c>
      <c r="AB27">
        <v>18258.716</v>
      </c>
      <c r="AC27">
        <v>18989.064640000001</v>
      </c>
      <c r="AE27">
        <f t="shared" si="0"/>
        <v>3.9999999971869649E-2</v>
      </c>
      <c r="AF27">
        <f t="shared" si="2"/>
        <v>4.799999996624358E-2</v>
      </c>
      <c r="AG27">
        <f t="shared" si="1"/>
        <v>3.3333333309891376E-2</v>
      </c>
    </row>
    <row r="28" spans="1:33" x14ac:dyDescent="0.45">
      <c r="A28" t="s">
        <v>13</v>
      </c>
      <c r="B28" t="s">
        <v>15</v>
      </c>
      <c r="C28">
        <v>2437.0489889999999</v>
      </c>
      <c r="D28">
        <v>2526.620253</v>
      </c>
      <c r="E28">
        <v>2620.695451</v>
      </c>
      <c r="F28">
        <v>2722.2950300000002</v>
      </c>
      <c r="G28">
        <v>2803.1341550000002</v>
      </c>
      <c r="H28">
        <v>2901.8737890000002</v>
      </c>
      <c r="I28">
        <v>3002.1508330000001</v>
      </c>
      <c r="J28">
        <v>3101.6892200000002</v>
      </c>
      <c r="K28">
        <v>3208.1136609999999</v>
      </c>
      <c r="L28">
        <v>3317.2139940000002</v>
      </c>
      <c r="M28">
        <v>3429.4184690000002</v>
      </c>
      <c r="N28">
        <v>3546.1835940000001</v>
      </c>
      <c r="O28">
        <v>3668.4562209999999</v>
      </c>
      <c r="P28">
        <v>3794.9448160000002</v>
      </c>
      <c r="Q28">
        <v>3925.7947450000001</v>
      </c>
      <c r="R28">
        <v>4061.156387</v>
      </c>
      <c r="S28">
        <v>4201.1853069999997</v>
      </c>
      <c r="T28">
        <v>4346.0424329999996</v>
      </c>
      <c r="U28">
        <v>4495.8942420000003</v>
      </c>
      <c r="V28">
        <v>4650.9129489999996</v>
      </c>
      <c r="W28">
        <v>4811.2767119999999</v>
      </c>
      <c r="X28">
        <v>4977.1698269999997</v>
      </c>
      <c r="Y28">
        <v>5148.7829460000003</v>
      </c>
      <c r="Z28">
        <v>5326.3132960000003</v>
      </c>
      <c r="AA28">
        <v>5509.9649040000004</v>
      </c>
      <c r="AB28">
        <v>5699.9488300000003</v>
      </c>
      <c r="AC28">
        <v>5896.4834140000003</v>
      </c>
      <c r="AE28">
        <f t="shared" si="0"/>
        <v>3.4567427397303563E-2</v>
      </c>
      <c r="AF28">
        <f t="shared" si="2"/>
        <v>4.1480912876764274E-2</v>
      </c>
      <c r="AG28">
        <f t="shared" si="1"/>
        <v>2.880618949775297E-2</v>
      </c>
    </row>
    <row r="29" spans="1:33" x14ac:dyDescent="0.45">
      <c r="A29" t="s">
        <v>14</v>
      </c>
      <c r="B29" t="s">
        <v>15</v>
      </c>
      <c r="C29">
        <v>11315</v>
      </c>
      <c r="D29">
        <v>11775.6481</v>
      </c>
      <c r="E29">
        <v>12231.001399999999</v>
      </c>
      <c r="F29">
        <v>12729.77211</v>
      </c>
      <c r="G29">
        <v>13152.29761</v>
      </c>
      <c r="H29">
        <v>13646.832479999999</v>
      </c>
      <c r="I29">
        <v>14154.07487</v>
      </c>
      <c r="J29">
        <v>14662.37623</v>
      </c>
      <c r="K29">
        <v>15203.505380000001</v>
      </c>
      <c r="L29">
        <v>15761.57791</v>
      </c>
      <c r="M29">
        <v>16337.65278</v>
      </c>
      <c r="N29">
        <v>16937.024799999999</v>
      </c>
      <c r="O29">
        <v>17563.956539999999</v>
      </c>
      <c r="P29">
        <v>18214.094450000001</v>
      </c>
      <c r="Q29">
        <v>18888.29751</v>
      </c>
      <c r="R29">
        <v>19587.45651</v>
      </c>
      <c r="S29">
        <v>20312.495200000001</v>
      </c>
      <c r="T29">
        <v>21064.37153</v>
      </c>
      <c r="U29">
        <v>21844.0789</v>
      </c>
      <c r="V29">
        <v>22652.647499999999</v>
      </c>
      <c r="W29">
        <v>23491.145639999999</v>
      </c>
      <c r="X29">
        <v>24360.68118</v>
      </c>
      <c r="Y29">
        <v>25262.402959999999</v>
      </c>
      <c r="Z29">
        <v>26197.502400000001</v>
      </c>
      <c r="AA29">
        <v>27167.214970000001</v>
      </c>
      <c r="AB29">
        <v>28172.821889999999</v>
      </c>
      <c r="AC29">
        <v>29215.651819999999</v>
      </c>
      <c r="AE29">
        <f t="shared" si="0"/>
        <v>3.7157362624462786E-2</v>
      </c>
      <c r="AF29">
        <f t="shared" si="2"/>
        <v>4.4588835149355341E-2</v>
      </c>
      <c r="AG29">
        <f t="shared" si="1"/>
        <v>3.096446885371899E-2</v>
      </c>
    </row>
    <row r="30" spans="1:33" x14ac:dyDescent="0.45">
      <c r="A30" t="s">
        <v>16</v>
      </c>
      <c r="B30" t="s">
        <v>15</v>
      </c>
      <c r="C30">
        <v>1878.9448460000001</v>
      </c>
      <c r="D30">
        <v>1961.9170650000001</v>
      </c>
      <c r="E30">
        <v>2042.5831089999999</v>
      </c>
      <c r="F30">
        <v>2131.7593889999998</v>
      </c>
      <c r="G30">
        <v>2210.0322529999999</v>
      </c>
      <c r="H30">
        <v>2299.52394</v>
      </c>
      <c r="I30">
        <v>2392.1626019999999</v>
      </c>
      <c r="J30">
        <v>2485.8497200000002</v>
      </c>
      <c r="K30">
        <v>2585.2365880000002</v>
      </c>
      <c r="L30">
        <v>2688.1557149999999</v>
      </c>
      <c r="M30">
        <v>2794.7459509999999</v>
      </c>
      <c r="N30">
        <v>2906.0170859999998</v>
      </c>
      <c r="O30">
        <v>3022.4555009999999</v>
      </c>
      <c r="P30">
        <v>3143.5593709999998</v>
      </c>
      <c r="Q30">
        <v>3269.5156400000001</v>
      </c>
      <c r="R30">
        <v>3400.518728</v>
      </c>
      <c r="S30">
        <v>3536.7708520000001</v>
      </c>
      <c r="T30">
        <v>3678.4823350000001</v>
      </c>
      <c r="U30">
        <v>3825.8719179999998</v>
      </c>
      <c r="V30">
        <v>3979.1671110000002</v>
      </c>
      <c r="W30">
        <v>4138.6045450000001</v>
      </c>
      <c r="X30">
        <v>4304.4303229999996</v>
      </c>
      <c r="Y30">
        <v>4476.9004160000004</v>
      </c>
      <c r="Z30">
        <v>4656.2810490000002</v>
      </c>
      <c r="AA30">
        <v>4842.8491100000001</v>
      </c>
      <c r="AB30">
        <v>5036.8925879999997</v>
      </c>
      <c r="AC30">
        <v>5238.7110089999996</v>
      </c>
      <c r="AE30">
        <f t="shared" si="0"/>
        <v>4.0225087085666855E-2</v>
      </c>
      <c r="AF30">
        <f t="shared" si="2"/>
        <v>4.8270104502800226E-2</v>
      </c>
      <c r="AG30">
        <f t="shared" si="1"/>
        <v>3.3520905904722384E-2</v>
      </c>
    </row>
    <row r="31" spans="1:33" x14ac:dyDescent="0.45">
      <c r="A31" t="s">
        <v>17</v>
      </c>
      <c r="B31" t="s">
        <v>15</v>
      </c>
      <c r="C31">
        <v>4156.3071620000001</v>
      </c>
      <c r="D31">
        <v>4339.8452960000004</v>
      </c>
      <c r="E31">
        <v>4518.2820689999999</v>
      </c>
      <c r="F31">
        <v>4715.5438530000001</v>
      </c>
      <c r="G31">
        <v>4888.6868080000004</v>
      </c>
      <c r="H31">
        <v>5086.6462869999996</v>
      </c>
      <c r="I31">
        <v>5291.567008</v>
      </c>
      <c r="J31">
        <v>5498.8069610000002</v>
      </c>
      <c r="K31">
        <v>5718.6550049999996</v>
      </c>
      <c r="L31">
        <v>5946.3165589999999</v>
      </c>
      <c r="M31">
        <v>6182.0987679999998</v>
      </c>
      <c r="N31">
        <v>6428.2353240000002</v>
      </c>
      <c r="O31">
        <v>6685.8021280000003</v>
      </c>
      <c r="P31">
        <v>6953.6891189999997</v>
      </c>
      <c r="Q31">
        <v>7232.3098259999997</v>
      </c>
      <c r="R31">
        <v>7522.094317</v>
      </c>
      <c r="S31">
        <v>7823.4899009999999</v>
      </c>
      <c r="T31">
        <v>8136.9618209999999</v>
      </c>
      <c r="U31">
        <v>8462.9939470000008</v>
      </c>
      <c r="V31">
        <v>8802.0895349999992</v>
      </c>
      <c r="W31">
        <v>9154.7720270000009</v>
      </c>
      <c r="X31">
        <v>9521.5858100000005</v>
      </c>
      <c r="Y31">
        <v>9903.0971050000007</v>
      </c>
      <c r="Z31">
        <v>10299.89481</v>
      </c>
      <c r="AA31">
        <v>10712.59143</v>
      </c>
      <c r="AB31">
        <v>11141.823979999999</v>
      </c>
      <c r="AC31">
        <v>11588.25505</v>
      </c>
      <c r="AE31">
        <f t="shared" si="0"/>
        <v>4.0225087111347424E-2</v>
      </c>
      <c r="AF31">
        <f t="shared" si="2"/>
        <v>4.8270104533616909E-2</v>
      </c>
      <c r="AG31">
        <f t="shared" si="1"/>
        <v>3.3520905926122856E-2</v>
      </c>
    </row>
    <row r="32" spans="1:33" x14ac:dyDescent="0.45">
      <c r="A32" t="s">
        <v>18</v>
      </c>
      <c r="B32" t="s">
        <v>15</v>
      </c>
      <c r="C32">
        <v>1166.381725</v>
      </c>
      <c r="D32">
        <v>1217.8879099999999</v>
      </c>
      <c r="E32">
        <v>1267.962503</v>
      </c>
      <c r="F32">
        <v>1323.319947</v>
      </c>
      <c r="G32">
        <v>1371.90894</v>
      </c>
      <c r="H32">
        <v>1427.4621770000001</v>
      </c>
      <c r="I32">
        <v>1484.9689430000001</v>
      </c>
      <c r="J32">
        <v>1543.1265539999999</v>
      </c>
      <c r="K32">
        <v>1604.822365</v>
      </c>
      <c r="L32">
        <v>1668.7108760000001</v>
      </c>
      <c r="M32">
        <v>1734.878281</v>
      </c>
      <c r="N32">
        <v>1803.9514200000001</v>
      </c>
      <c r="O32">
        <v>1876.232221</v>
      </c>
      <c r="P32">
        <v>1951.4091699999999</v>
      </c>
      <c r="Q32">
        <v>2029.5983140000001</v>
      </c>
      <c r="R32">
        <v>2110.9203440000001</v>
      </c>
      <c r="S32">
        <v>2195.5007869999999</v>
      </c>
      <c r="T32">
        <v>2283.4702040000002</v>
      </c>
      <c r="U32">
        <v>2374.9643839999999</v>
      </c>
      <c r="V32">
        <v>2470.124554</v>
      </c>
      <c r="W32">
        <v>2569.097608</v>
      </c>
      <c r="X32">
        <v>2672.0363170000001</v>
      </c>
      <c r="Y32">
        <v>2779.0995790000002</v>
      </c>
      <c r="Z32">
        <v>2890.4526569999998</v>
      </c>
      <c r="AA32">
        <v>3006.2674339999999</v>
      </c>
      <c r="AB32">
        <v>3126.7226810000002</v>
      </c>
      <c r="AC32">
        <v>3252.0043350000001</v>
      </c>
      <c r="AE32">
        <f t="shared" si="0"/>
        <v>4.0225087091978695E-2</v>
      </c>
      <c r="AF32">
        <f t="shared" si="2"/>
        <v>4.8270104510374431E-2</v>
      </c>
      <c r="AG32">
        <f t="shared" si="1"/>
        <v>3.3520905909982246E-2</v>
      </c>
    </row>
    <row r="33" spans="1:33" x14ac:dyDescent="0.45">
      <c r="A33" t="s">
        <v>19</v>
      </c>
      <c r="B33" t="s">
        <v>15</v>
      </c>
      <c r="C33">
        <v>8322</v>
      </c>
      <c r="D33">
        <v>8322</v>
      </c>
      <c r="E33">
        <v>8322</v>
      </c>
      <c r="F33">
        <v>8322</v>
      </c>
      <c r="G33">
        <v>8322</v>
      </c>
      <c r="H33">
        <v>8322</v>
      </c>
      <c r="I33">
        <v>8322</v>
      </c>
      <c r="J33">
        <v>8322</v>
      </c>
      <c r="K33">
        <v>8322</v>
      </c>
      <c r="L33">
        <v>8322</v>
      </c>
      <c r="M33">
        <v>8322</v>
      </c>
      <c r="N33">
        <v>8322</v>
      </c>
      <c r="O33">
        <v>8322</v>
      </c>
      <c r="P33">
        <v>8322</v>
      </c>
      <c r="Q33">
        <v>8322</v>
      </c>
      <c r="R33">
        <v>8322</v>
      </c>
      <c r="S33">
        <v>8322</v>
      </c>
      <c r="T33">
        <v>8322</v>
      </c>
      <c r="U33">
        <v>8322</v>
      </c>
      <c r="V33">
        <v>8322</v>
      </c>
      <c r="W33">
        <v>8322</v>
      </c>
      <c r="X33">
        <v>8322</v>
      </c>
      <c r="Y33">
        <v>8322</v>
      </c>
      <c r="Z33">
        <v>8322</v>
      </c>
      <c r="AA33">
        <v>8322</v>
      </c>
      <c r="AB33">
        <v>8322</v>
      </c>
      <c r="AC33">
        <v>8322</v>
      </c>
      <c r="AE33">
        <f t="shared" si="0"/>
        <v>0</v>
      </c>
      <c r="AF33">
        <f t="shared" si="2"/>
        <v>0</v>
      </c>
      <c r="AG33">
        <f t="shared" si="1"/>
        <v>0</v>
      </c>
    </row>
    <row r="37" spans="1:33" x14ac:dyDescent="0.45">
      <c r="C37">
        <f>C2</f>
        <v>33873</v>
      </c>
      <c r="D37">
        <f>$C37*POWER((1+$AG2),(D$1-$C$1))</f>
        <v>34408.954408527927</v>
      </c>
      <c r="E37">
        <f t="shared" ref="E37:AC37" si="3">$C37*POWER((1+$AG2),(E$1-$C$1))</f>
        <v>34953.388937742551</v>
      </c>
      <c r="F37">
        <f t="shared" si="3"/>
        <v>35506.437764069546</v>
      </c>
      <c r="G37">
        <f t="shared" si="3"/>
        <v>36068.237186936589</v>
      </c>
      <c r="H37">
        <f t="shared" si="3"/>
        <v>36638.925662364498</v>
      </c>
      <c r="I37">
        <f t="shared" si="3"/>
        <v>37218.643837089832</v>
      </c>
      <c r="J37">
        <f t="shared" si="3"/>
        <v>37807.534583227432</v>
      </c>
      <c r="K37">
        <f t="shared" si="3"/>
        <v>38405.743033481405</v>
      </c>
      <c r="L37">
        <f t="shared" si="3"/>
        <v>39013.416616913193</v>
      </c>
      <c r="M37">
        <f t="shared" si="3"/>
        <v>39630.705095275647</v>
      </c>
      <c r="N37">
        <f t="shared" si="3"/>
        <v>40257.760599921909</v>
      </c>
      <c r="O37">
        <f t="shared" si="3"/>
        <v>40894.737669298403</v>
      </c>
      <c r="P37">
        <f t="shared" si="3"/>
        <v>41541.793287030923</v>
      </c>
      <c r="Q37">
        <f t="shared" si="3"/>
        <v>42199.086920613423</v>
      </c>
      <c r="R37">
        <f t="shared" si="3"/>
        <v>42866.780560708947</v>
      </c>
      <c r="S37">
        <f t="shared" si="3"/>
        <v>43545.038761072406</v>
      </c>
      <c r="T37">
        <f t="shared" si="3"/>
        <v>44234.028679104944</v>
      </c>
      <c r="U37">
        <f t="shared" si="3"/>
        <v>44933.920117050118</v>
      </c>
      <c r="V37">
        <f t="shared" si="3"/>
        <v>45644.885563841803</v>
      </c>
      <c r="W37">
        <f t="shared" si="3"/>
        <v>46367.100237614242</v>
      </c>
      <c r="X37">
        <f t="shared" si="3"/>
        <v>47100.742128884733</v>
      </c>
      <c r="Y37">
        <f t="shared" si="3"/>
        <v>47845.992044419603</v>
      </c>
      <c r="Z37">
        <f t="shared" si="3"/>
        <v>48603.033651794169</v>
      </c>
      <c r="AA37">
        <f t="shared" si="3"/>
        <v>49372.053524657815</v>
      </c>
      <c r="AB37">
        <f t="shared" si="3"/>
        <v>50153.241188715241</v>
      </c>
      <c r="AC37">
        <f t="shared" si="3"/>
        <v>50946.789168435258</v>
      </c>
    </row>
    <row r="38" spans="1:33" x14ac:dyDescent="0.45">
      <c r="C38">
        <f t="shared" ref="C38:C68" si="4">C3</f>
        <v>204</v>
      </c>
      <c r="D38">
        <f t="shared" ref="D38:AC38" si="5">$C38*POWER((1+$AG3),(D$1-$C$1))</f>
        <v>209.68820912234759</v>
      </c>
      <c r="E38">
        <f t="shared" si="5"/>
        <v>215.53502473008521</v>
      </c>
      <c r="F38">
        <f t="shared" si="5"/>
        <v>221.54486930780624</v>
      </c>
      <c r="G38">
        <f t="shared" si="5"/>
        <v>227.72228865391392</v>
      </c>
      <c r="H38">
        <f t="shared" si="5"/>
        <v>234.07195531902698</v>
      </c>
      <c r="I38">
        <f t="shared" si="5"/>
        <v>240.59867214025951</v>
      </c>
      <c r="J38">
        <f t="shared" si="5"/>
        <v>247.30737587404846</v>
      </c>
      <c r="K38">
        <f t="shared" si="5"/>
        <v>254.20314093027693</v>
      </c>
      <c r="L38">
        <f t="shared" si="5"/>
        <v>261.29118321051715</v>
      </c>
      <c r="M38">
        <f t="shared" si="5"/>
        <v>268.5768640532969</v>
      </c>
      <c r="N38">
        <f t="shared" si="5"/>
        <v>276.0656942893728</v>
      </c>
      <c r="O38">
        <f t="shared" si="5"/>
        <v>283.7633384100788</v>
      </c>
      <c r="P38">
        <f t="shared" si="5"/>
        <v>291.67561885190247</v>
      </c>
      <c r="Q38">
        <f t="shared" si="5"/>
        <v>299.80852040052883</v>
      </c>
      <c r="R38">
        <f t="shared" si="5"/>
        <v>308.16819471768486</v>
      </c>
      <c r="S38">
        <f t="shared" si="5"/>
        <v>316.76096499420703</v>
      </c>
      <c r="T38">
        <f t="shared" si="5"/>
        <v>325.59333073285251</v>
      </c>
      <c r="U38">
        <f t="shared" si="5"/>
        <v>334.6719726644709</v>
      </c>
      <c r="V38">
        <f t="shared" si="5"/>
        <v>344.0037578012558</v>
      </c>
      <c r="W38">
        <f t="shared" si="5"/>
        <v>353.59574463089774</v>
      </c>
      <c r="X38">
        <f t="shared" si="5"/>
        <v>363.45518845556813</v>
      </c>
      <c r="Y38">
        <f t="shared" si="5"/>
        <v>373.58954687977177</v>
      </c>
      <c r="Z38">
        <f t="shared" si="5"/>
        <v>384.00648545121896</v>
      </c>
      <c r="AA38">
        <f t="shared" si="5"/>
        <v>394.71388345898498</v>
      </c>
      <c r="AB38">
        <f t="shared" si="5"/>
        <v>405.71983989334103</v>
      </c>
      <c r="AC38">
        <f t="shared" si="5"/>
        <v>417.0326795717661</v>
      </c>
    </row>
    <row r="39" spans="1:33" x14ac:dyDescent="0.45">
      <c r="C39">
        <f t="shared" si="4"/>
        <v>260</v>
      </c>
      <c r="D39">
        <f t="shared" ref="D39:AC39" si="6">$C39*POWER((1+$AG4),(D$1-$C$1))</f>
        <v>266.75541357206231</v>
      </c>
      <c r="E39">
        <f t="shared" si="6"/>
        <v>273.6863487307769</v>
      </c>
      <c r="F39">
        <f t="shared" si="6"/>
        <v>280.79736594117713</v>
      </c>
      <c r="G39">
        <f t="shared" si="6"/>
        <v>288.09314415994015</v>
      </c>
      <c r="H39">
        <f t="shared" si="6"/>
        <v>295.57848391407924</v>
      </c>
      <c r="I39">
        <f t="shared" si="6"/>
        <v>303.25831045962832</v>
      </c>
      <c r="J39">
        <f t="shared" si="6"/>
        <v>311.13767702239625</v>
      </c>
      <c r="K39">
        <f t="shared" si="6"/>
        <v>319.22176812292327</v>
      </c>
      <c r="L39">
        <f t="shared" si="6"/>
        <v>327.51590298782833</v>
      </c>
      <c r="M39">
        <f t="shared" si="6"/>
        <v>336.02553904979067</v>
      </c>
      <c r="N39">
        <f t="shared" si="6"/>
        <v>344.75627553846954</v>
      </c>
      <c r="O39">
        <f t="shared" si="6"/>
        <v>353.71385716472429</v>
      </c>
      <c r="P39">
        <f t="shared" si="6"/>
        <v>362.9041779005592</v>
      </c>
      <c r="Q39">
        <f t="shared" si="6"/>
        <v>372.33328485728049</v>
      </c>
      <c r="R39">
        <f t="shared" si="6"/>
        <v>382.00738226441672</v>
      </c>
      <c r="S39">
        <f t="shared" si="6"/>
        <v>391.93283555202072</v>
      </c>
      <c r="T39">
        <f t="shared" si="6"/>
        <v>402.11617553903989</v>
      </c>
      <c r="U39">
        <f t="shared" si="6"/>
        <v>412.56410273050989</v>
      </c>
      <c r="V39">
        <f t="shared" si="6"/>
        <v>423.28349172639992</v>
      </c>
      <c r="W39">
        <f t="shared" si="6"/>
        <v>434.28139574500926</v>
      </c>
      <c r="X39">
        <f t="shared" si="6"/>
        <v>445.56505126389385</v>
      </c>
      <c r="Y39">
        <f t="shared" si="6"/>
        <v>457.14188278137362</v>
      </c>
      <c r="Z39">
        <f t="shared" si="6"/>
        <v>469.01950770175591</v>
      </c>
      <c r="AA39">
        <f t="shared" si="6"/>
        <v>481.20574134748836</v>
      </c>
      <c r="AB39">
        <f t="shared" si="6"/>
        <v>493.70860210153882</v>
      </c>
      <c r="AC39">
        <f t="shared" si="6"/>
        <v>506.53631668338738</v>
      </c>
    </row>
    <row r="40" spans="1:33" x14ac:dyDescent="0.45">
      <c r="C40">
        <f t="shared" si="4"/>
        <v>1841</v>
      </c>
      <c r="D40">
        <f t="shared" ref="D40:AC40" si="7">$C40*POWER((1+$AG5),(D$1-$C$1))</f>
        <v>1904.711953075177</v>
      </c>
      <c r="E40">
        <f t="shared" si="7"/>
        <v>1970.6288018400087</v>
      </c>
      <c r="F40">
        <f t="shared" si="7"/>
        <v>2038.8268516778267</v>
      </c>
      <c r="G40">
        <f t="shared" si="7"/>
        <v>2109.3850486916831</v>
      </c>
      <c r="H40">
        <f t="shared" si="7"/>
        <v>2182.3850710924025</v>
      </c>
      <c r="I40">
        <f t="shared" si="7"/>
        <v>2257.9114237493318</v>
      </c>
      <c r="J40">
        <f t="shared" si="7"/>
        <v>2336.0515360132226</v>
      </c>
      <c r="K40">
        <f t="shared" si="7"/>
        <v>2416.8958629245053</v>
      </c>
      <c r="L40">
        <f t="shared" si="7"/>
        <v>2500.5379899240902</v>
      </c>
      <c r="M40">
        <f t="shared" si="7"/>
        <v>2587.074741187937</v>
      </c>
      <c r="N40">
        <f t="shared" si="7"/>
        <v>2676.6062917107733</v>
      </c>
      <c r="O40">
        <f t="shared" si="7"/>
        <v>2769.2362832687318</v>
      </c>
      <c r="P40">
        <f t="shared" si="7"/>
        <v>2865.071944395128</v>
      </c>
      <c r="Q40">
        <f t="shared" si="7"/>
        <v>2964.2242145082778</v>
      </c>
      <c r="R40">
        <f t="shared" si="7"/>
        <v>3066.8078723350322</v>
      </c>
      <c r="S40">
        <f t="shared" si="7"/>
        <v>3172.9416687787016</v>
      </c>
      <c r="T40">
        <f t="shared" si="7"/>
        <v>3282.7484643851672</v>
      </c>
      <c r="U40">
        <f t="shared" si="7"/>
        <v>3396.3553715663284</v>
      </c>
      <c r="V40">
        <f t="shared" si="7"/>
        <v>3513.8939017455023</v>
      </c>
      <c r="W40">
        <f t="shared" si="7"/>
        <v>3635.5001175951288</v>
      </c>
      <c r="X40">
        <f t="shared" si="7"/>
        <v>3761.3147905429942</v>
      </c>
      <c r="Y40">
        <f t="shared" si="7"/>
        <v>3891.4835637293313</v>
      </c>
      <c r="Z40">
        <f t="shared" si="7"/>
        <v>4026.1571206033918</v>
      </c>
      <c r="AA40">
        <f t="shared" si="7"/>
        <v>4165.4913593547089</v>
      </c>
      <c r="AB40">
        <f t="shared" si="7"/>
        <v>4309.6475733809248</v>
      </c>
      <c r="AC40">
        <f t="shared" si="7"/>
        <v>4458.7926380011295</v>
      </c>
    </row>
    <row r="41" spans="1:33" x14ac:dyDescent="0.45">
      <c r="C41">
        <f t="shared" si="4"/>
        <v>675.05</v>
      </c>
      <c r="D41">
        <f t="shared" ref="D41:AC41" si="8">$C41*POWER((1+$AG6),(D$1-$C$1))</f>
        <v>697.51101323214925</v>
      </c>
      <c r="E41">
        <f t="shared" si="8"/>
        <v>720.71937423915188</v>
      </c>
      <c r="F41">
        <f t="shared" si="8"/>
        <v>744.69994960609063</v>
      </c>
      <c r="G41">
        <f t="shared" si="8"/>
        <v>769.47843330668047</v>
      </c>
      <c r="H41">
        <f t="shared" si="8"/>
        <v>795.08137423306357</v>
      </c>
      <c r="I41">
        <f t="shared" si="8"/>
        <v>821.53620464160258</v>
      </c>
      <c r="J41">
        <f t="shared" si="8"/>
        <v>848.87126954515747</v>
      </c>
      <c r="K41">
        <f t="shared" si="8"/>
        <v>877.11585708333257</v>
      </c>
      <c r="L41">
        <f t="shared" si="8"/>
        <v>906.30022990323721</v>
      </c>
      <c r="M41">
        <f t="shared" si="8"/>
        <v>936.4556575843817</v>
      </c>
      <c r="N41">
        <f t="shared" si="8"/>
        <v>967.61445014244987</v>
      </c>
      <c r="O41">
        <f t="shared" si="8"/>
        <v>999.80999264784691</v>
      </c>
      <c r="P41">
        <f t="shared" si="8"/>
        <v>1033.0767809961151</v>
      </c>
      <c r="Q41">
        <f t="shared" si="8"/>
        <v>1067.450458868539</v>
      </c>
      <c r="R41">
        <f t="shared" si="8"/>
        <v>1102.9678559225501</v>
      </c>
      <c r="S41">
        <f t="shared" si="8"/>
        <v>1139.6670272528393</v>
      </c>
      <c r="T41">
        <f t="shared" si="8"/>
        <v>1177.5872941654682</v>
      </c>
      <c r="U41">
        <f t="shared" si="8"/>
        <v>1216.7692863086597</v>
      </c>
      <c r="V41">
        <f t="shared" si="8"/>
        <v>1257.2549852054108</v>
      </c>
      <c r="W41">
        <f t="shared" si="8"/>
        <v>1299.0877692345705</v>
      </c>
      <c r="X41">
        <f t="shared" si="8"/>
        <v>1342.3124601085813</v>
      </c>
      <c r="Y41">
        <f t="shared" si="8"/>
        <v>1386.975370897675</v>
      </c>
      <c r="Z41">
        <f t="shared" si="8"/>
        <v>1433.1243556519864</v>
      </c>
      <c r="AA41">
        <f t="shared" si="8"/>
        <v>1480.8088606747467</v>
      </c>
      <c r="AB41">
        <f t="shared" si="8"/>
        <v>1530.0799775014993</v>
      </c>
      <c r="AC41">
        <f t="shared" si="8"/>
        <v>1580.9904976420935</v>
      </c>
    </row>
    <row r="42" spans="1:33" x14ac:dyDescent="0.45">
      <c r="C42">
        <f t="shared" si="4"/>
        <v>672.08085579999999</v>
      </c>
      <c r="D42">
        <f t="shared" ref="D42:AC42" si="9">$C42*POWER((1+$AG7),(D$1-$C$1))</f>
        <v>679.44642980005324</v>
      </c>
      <c r="E42">
        <f t="shared" si="9"/>
        <v>686.8927257547374</v>
      </c>
      <c r="F42">
        <f t="shared" si="9"/>
        <v>694.42062832476734</v>
      </c>
      <c r="G42">
        <f t="shared" si="9"/>
        <v>702.03103186617045</v>
      </c>
      <c r="H42">
        <f t="shared" si="9"/>
        <v>709.7248405365408</v>
      </c>
      <c r="I42">
        <f t="shared" si="9"/>
        <v>717.50296840245869</v>
      </c>
      <c r="J42">
        <f t="shared" si="9"/>
        <v>725.36633954808576</v>
      </c>
      <c r="K42">
        <f t="shared" si="9"/>
        <v>733.31588818495266</v>
      </c>
      <c r="L42">
        <f t="shared" si="9"/>
        <v>741.35255876294684</v>
      </c>
      <c r="M42">
        <f t="shared" si="9"/>
        <v>749.4773060825197</v>
      </c>
      <c r="N42">
        <f t="shared" si="9"/>
        <v>757.69109540812144</v>
      </c>
      <c r="O42">
        <f t="shared" si="9"/>
        <v>765.99490258288006</v>
      </c>
      <c r="P42">
        <f t="shared" si="9"/>
        <v>774.38971414453636</v>
      </c>
      <c r="Q42">
        <f t="shared" si="9"/>
        <v>782.87652744265108</v>
      </c>
      <c r="R42">
        <f t="shared" si="9"/>
        <v>791.45635075709356</v>
      </c>
      <c r="S42">
        <f t="shared" si="9"/>
        <v>800.13020341783408</v>
      </c>
      <c r="T42">
        <f t="shared" si="9"/>
        <v>808.89911592604199</v>
      </c>
      <c r="U42">
        <f t="shared" si="9"/>
        <v>817.76413007651774</v>
      </c>
      <c r="V42">
        <f t="shared" si="9"/>
        <v>826.7262990814628</v>
      </c>
      <c r="W42">
        <f t="shared" si="9"/>
        <v>835.78668769560716</v>
      </c>
      <c r="X42">
        <f t="shared" si="9"/>
        <v>844.94637234270749</v>
      </c>
      <c r="Y42">
        <f t="shared" si="9"/>
        <v>854.20644124343335</v>
      </c>
      <c r="Z42">
        <f t="shared" si="9"/>
        <v>863.56799454465215</v>
      </c>
      <c r="AA42">
        <f t="shared" si="9"/>
        <v>873.03214445013487</v>
      </c>
      <c r="AB42">
        <f t="shared" si="9"/>
        <v>882.60001535268918</v>
      </c>
      <c r="AC42">
        <f t="shared" si="9"/>
        <v>892.27274396774567</v>
      </c>
    </row>
    <row r="43" spans="1:33" x14ac:dyDescent="0.45">
      <c r="C43">
        <f t="shared" si="4"/>
        <v>2285.7231870000001</v>
      </c>
      <c r="D43">
        <f t="shared" ref="D43:AC43" si="10">$C43*POWER((1+$AG8),(D$1-$C$1))</f>
        <v>2346.6329416251524</v>
      </c>
      <c r="E43">
        <f t="shared" si="10"/>
        <v>2409.1658141455937</v>
      </c>
      <c r="F43">
        <f t="shared" si="10"/>
        <v>2473.3650572672036</v>
      </c>
      <c r="G43">
        <f t="shared" si="10"/>
        <v>2539.2750762902424</v>
      </c>
      <c r="H43">
        <f t="shared" si="10"/>
        <v>2606.9414598235885</v>
      </c>
      <c r="I43">
        <f t="shared" si="10"/>
        <v>2676.411011317442</v>
      </c>
      <c r="J43">
        <f t="shared" si="10"/>
        <v>2747.7317814363141</v>
      </c>
      <c r="K43">
        <f t="shared" si="10"/>
        <v>2820.9531012946832</v>
      </c>
      <c r="L43">
        <f t="shared" si="10"/>
        <v>2896.1256165783207</v>
      </c>
      <c r="M43">
        <f t="shared" si="10"/>
        <v>2973.3013225748678</v>
      </c>
      <c r="N43">
        <f t="shared" si="10"/>
        <v>3052.5336001379155</v>
      </c>
      <c r="O43">
        <f t="shared" si="10"/>
        <v>3133.8772526094399</v>
      </c>
      <c r="P43">
        <f t="shared" si="10"/>
        <v>3217.3885437261574</v>
      </c>
      <c r="Q43">
        <f t="shared" si="10"/>
        <v>3303.1252365359924</v>
      </c>
      <c r="R43">
        <f t="shared" si="10"/>
        <v>3391.1466333515978</v>
      </c>
      <c r="S43">
        <f t="shared" si="10"/>
        <v>3481.5136167685432</v>
      </c>
      <c r="T43">
        <f t="shared" si="10"/>
        <v>3574.2886917765645</v>
      </c>
      <c r="U43">
        <f t="shared" si="10"/>
        <v>3669.5360289929795</v>
      </c>
      <c r="V43">
        <f t="shared" si="10"/>
        <v>3767.3215090481895</v>
      </c>
      <c r="W43">
        <f t="shared" si="10"/>
        <v>3867.7127681539596</v>
      </c>
      <c r="X43">
        <f t="shared" si="10"/>
        <v>3970.7792448860023</v>
      </c>
      <c r="Y43">
        <f t="shared" si="10"/>
        <v>4076.5922282132146</v>
      </c>
      <c r="Z43">
        <f t="shared" si="10"/>
        <v>4185.2249068067986</v>
      </c>
      <c r="AA43">
        <f t="shared" si="10"/>
        <v>4296.7524196633567</v>
      </c>
      <c r="AB43">
        <f t="shared" si="10"/>
        <v>4411.2519080770107</v>
      </c>
      <c r="AC43">
        <f t="shared" si="10"/>
        <v>4528.8025689964361</v>
      </c>
    </row>
    <row r="44" spans="1:33" x14ac:dyDescent="0.45">
      <c r="C44">
        <f t="shared" si="4"/>
        <v>2584.06</v>
      </c>
      <c r="D44">
        <f t="shared" ref="D44:AC44" si="11">$C44*POWER((1+$AG9),(D$1-$C$1))</f>
        <v>2705.9989298312885</v>
      </c>
      <c r="E44">
        <f t="shared" si="11"/>
        <v>2833.6920227270575</v>
      </c>
      <c r="F44">
        <f t="shared" si="11"/>
        <v>2967.4108112702015</v>
      </c>
      <c r="G44">
        <f t="shared" si="11"/>
        <v>3107.4396413655109</v>
      </c>
      <c r="H44">
        <f t="shared" si="11"/>
        <v>3254.0762768861387</v>
      </c>
      <c r="I44">
        <f t="shared" si="11"/>
        <v>3407.6325328526723</v>
      </c>
      <c r="J44">
        <f t="shared" si="11"/>
        <v>3568.4349384912171</v>
      </c>
      <c r="K44">
        <f t="shared" si="11"/>
        <v>3736.8254315804643</v>
      </c>
      <c r="L44">
        <f t="shared" si="11"/>
        <v>3913.1620855642209</v>
      </c>
      <c r="M44">
        <f t="shared" si="11"/>
        <v>4097.8198709755798</v>
      </c>
      <c r="N44">
        <f t="shared" si="11"/>
        <v>4291.1914527918498</v>
      </c>
      <c r="O44">
        <f t="shared" si="11"/>
        <v>4493.6880254157877</v>
      </c>
      <c r="P44">
        <f t="shared" si="11"/>
        <v>4705.7401870586582</v>
      </c>
      <c r="Q44">
        <f t="shared" si="11"/>
        <v>4927.7988553844798</v>
      </c>
      <c r="R44">
        <f t="shared" si="11"/>
        <v>5160.3362263624877</v>
      </c>
      <c r="S44">
        <f t="shared" si="11"/>
        <v>5403.8467783668038</v>
      </c>
      <c r="T44">
        <f t="shared" si="11"/>
        <v>5658.8483236584398</v>
      </c>
      <c r="U44">
        <f t="shared" si="11"/>
        <v>5925.8831094855859</v>
      </c>
      <c r="V44">
        <f t="shared" si="11"/>
        <v>6205.5189711435887</v>
      </c>
      <c r="W44">
        <f t="shared" si="11"/>
        <v>6498.3505394465737</v>
      </c>
      <c r="X44">
        <f t="shared" si="11"/>
        <v>6805.0005051782873</v>
      </c>
      <c r="Y44">
        <f t="shared" si="11"/>
        <v>7126.1209432110036</v>
      </c>
      <c r="Z44">
        <f t="shared" si="11"/>
        <v>7462.394699108112</v>
      </c>
      <c r="AA44">
        <f t="shared" si="11"/>
        <v>7814.5368411589652</v>
      </c>
      <c r="AB44">
        <f t="shared" si="11"/>
        <v>8183.2961809336239</v>
      </c>
      <c r="AC44">
        <f t="shared" si="11"/>
        <v>8569.4568655909134</v>
      </c>
    </row>
    <row r="45" spans="1:33" x14ac:dyDescent="0.45">
      <c r="C45">
        <f t="shared" si="4"/>
        <v>1890.203</v>
      </c>
      <c r="D45">
        <f t="shared" ref="D45:AC45" si="12">$C45*POWER((1+$AG10),(D$1-$C$1))</f>
        <v>1960.1951761567684</v>
      </c>
      <c r="E45">
        <f t="shared" si="12"/>
        <v>2032.7790870230679</v>
      </c>
      <c r="F45">
        <f t="shared" si="12"/>
        <v>2108.0507017367854</v>
      </c>
      <c r="G45">
        <f t="shared" si="12"/>
        <v>2186.1095430693622</v>
      </c>
      <c r="H45">
        <f t="shared" si="12"/>
        <v>2267.0588190130056</v>
      </c>
      <c r="I45">
        <f t="shared" si="12"/>
        <v>2351.0055592404383</v>
      </c>
      <c r="J45">
        <f t="shared" si="12"/>
        <v>2438.0607566175972</v>
      </c>
      <c r="K45">
        <f t="shared" si="12"/>
        <v>2528.3395139564032</v>
      </c>
      <c r="L45">
        <f t="shared" si="12"/>
        <v>2621.9611962016193</v>
      </c>
      <c r="M45">
        <f t="shared" si="12"/>
        <v>2719.0495882530313</v>
      </c>
      <c r="N45">
        <f t="shared" si="12"/>
        <v>2819.7330586316066</v>
      </c>
      <c r="O45">
        <f t="shared" si="12"/>
        <v>2924.1447292060407</v>
      </c>
      <c r="P45">
        <f t="shared" si="12"/>
        <v>3032.4226512040877</v>
      </c>
      <c r="Q45">
        <f t="shared" si="12"/>
        <v>3144.7099877414075</v>
      </c>
      <c r="R45">
        <f t="shared" si="12"/>
        <v>3261.1552031092515</v>
      </c>
      <c r="S45">
        <f t="shared" si="12"/>
        <v>3381.912259071275</v>
      </c>
      <c r="T45">
        <f t="shared" si="12"/>
        <v>3507.1408184290003</v>
      </c>
      <c r="U45">
        <f t="shared" si="12"/>
        <v>3637.006456125097</v>
      </c>
      <c r="V45">
        <f t="shared" si="12"/>
        <v>3771.6808781635827</v>
      </c>
      <c r="W45">
        <f t="shared" si="12"/>
        <v>3911.3421486364055</v>
      </c>
      <c r="X45">
        <f t="shared" si="12"/>
        <v>4056.1749251565734</v>
      </c>
      <c r="Y45">
        <f t="shared" si="12"/>
        <v>4206.3707030091246</v>
      </c>
      <c r="Z45">
        <f t="shared" si="12"/>
        <v>4362.1280683427331</v>
      </c>
      <c r="AA45">
        <f t="shared" si="12"/>
        <v>4523.6529607367402</v>
      </c>
      <c r="AB45">
        <f t="shared" si="12"/>
        <v>4691.1589454907444</v>
      </c>
      <c r="AC45">
        <f t="shared" si="12"/>
        <v>4864.8674959967939</v>
      </c>
    </row>
    <row r="46" spans="1:33" x14ac:dyDescent="0.45">
      <c r="C46">
        <f t="shared" si="4"/>
        <v>929.53269479999994</v>
      </c>
      <c r="D46">
        <f t="shared" ref="D46:AC46" si="13">$C46*POWER((1+$AG11),(D$1-$C$1))</f>
        <v>958.95998090666797</v>
      </c>
      <c r="E46">
        <f t="shared" si="13"/>
        <v>989.31888047077337</v>
      </c>
      <c r="F46">
        <f t="shared" si="13"/>
        <v>1020.6388866515199</v>
      </c>
      <c r="G46">
        <f t="shared" si="13"/>
        <v>1052.9504263069891</v>
      </c>
      <c r="H46">
        <f t="shared" si="13"/>
        <v>1086.2848895533205</v>
      </c>
      <c r="I46">
        <f t="shared" si="13"/>
        <v>1120.6746602596795</v>
      </c>
      <c r="J46">
        <f t="shared" si="13"/>
        <v>1156.1531475086408</v>
      </c>
      <c r="K46">
        <f t="shared" si="13"/>
        <v>1192.75481805255</v>
      </c>
      <c r="L46">
        <f t="shared" si="13"/>
        <v>1230.5152297973905</v>
      </c>
      <c r="M46">
        <f t="shared" si="13"/>
        <v>1269.4710663466917</v>
      </c>
      <c r="N46">
        <f t="shared" si="13"/>
        <v>1309.66017263903</v>
      </c>
      <c r="O46">
        <f t="shared" si="13"/>
        <v>1351.1215917137506</v>
      </c>
      <c r="P46">
        <f t="shared" si="13"/>
        <v>1393.8956026406197</v>
      </c>
      <c r="Q46">
        <f t="shared" si="13"/>
        <v>1438.0237596502639</v>
      </c>
      <c r="R46">
        <f t="shared" si="13"/>
        <v>1483.5489325034034</v>
      </c>
      <c r="S46">
        <f t="shared" si="13"/>
        <v>1530.5153481381035</v>
      </c>
      <c r="T46">
        <f t="shared" si="13"/>
        <v>1578.9686336354978</v>
      </c>
      <c r="U46">
        <f t="shared" si="13"/>
        <v>1628.9558605457294</v>
      </c>
      <c r="V46">
        <f t="shared" si="13"/>
        <v>1680.5255906171676</v>
      </c>
      <c r="W46">
        <f t="shared" si="13"/>
        <v>1733.7279229733301</v>
      </c>
      <c r="X46">
        <f t="shared" si="13"/>
        <v>1788.6145427833335</v>
      </c>
      <c r="Y46">
        <f t="shared" si="13"/>
        <v>1845.2387714731672</v>
      </c>
      <c r="Z46">
        <f t="shared" si="13"/>
        <v>1903.6556185265574</v>
      </c>
      <c r="AA46">
        <f t="shared" si="13"/>
        <v>1963.9218349257562</v>
      </c>
      <c r="AB46">
        <f t="shared" si="13"/>
        <v>2026.0959682841612</v>
      </c>
      <c r="AC46">
        <f t="shared" si="13"/>
        <v>2090.2384197243373</v>
      </c>
    </row>
    <row r="47" spans="1:33" x14ac:dyDescent="0.45">
      <c r="C47">
        <f t="shared" si="4"/>
        <v>386.74</v>
      </c>
      <c r="D47">
        <f t="shared" ref="D47:AC47" si="14">$C47*POWER((1+$AG12),(D$1-$C$1))</f>
        <v>396.79878774700148</v>
      </c>
      <c r="E47">
        <f t="shared" si="14"/>
        <v>407.11919624939219</v>
      </c>
      <c r="F47">
        <f t="shared" si="14"/>
        <v>417.7080300467818</v>
      </c>
      <c r="G47">
        <f t="shared" si="14"/>
        <v>428.57227065923126</v>
      </c>
      <c r="H47">
        <f t="shared" si="14"/>
        <v>439.71908119036766</v>
      </c>
      <c r="I47">
        <f t="shared" si="14"/>
        <v>451.15581105022284</v>
      </c>
      <c r="J47">
        <f t="shared" si="14"/>
        <v>462.89000080090926</v>
      </c>
      <c r="K47">
        <f t="shared" si="14"/>
        <v>474.92938712832745</v>
      </c>
      <c r="L47">
        <f t="shared" si="14"/>
        <v>487.28190794318328</v>
      </c>
      <c r="M47">
        <f t="shared" si="14"/>
        <v>499.9557076146794</v>
      </c>
      <c r="N47">
        <f t="shared" si="14"/>
        <v>512.95914234032955</v>
      </c>
      <c r="O47">
        <f t="shared" si="14"/>
        <v>526.30078565543863</v>
      </c>
      <c r="P47">
        <f t="shared" si="14"/>
        <v>539.98943408587832</v>
      </c>
      <c r="Q47">
        <f t="shared" si="14"/>
        <v>554.03411294788702</v>
      </c>
      <c r="R47">
        <f t="shared" si="14"/>
        <v>568.44408229871965</v>
      </c>
      <c r="S47">
        <f t="shared" si="14"/>
        <v>583.22884304206627</v>
      </c>
      <c r="T47">
        <f t="shared" si="14"/>
        <v>598.398143192269</v>
      </c>
      <c r="U47">
        <f t="shared" si="14"/>
        <v>613.96198430146592</v>
      </c>
      <c r="V47">
        <f t="shared" si="14"/>
        <v>629.9306280538998</v>
      </c>
      <c r="W47">
        <f t="shared" si="14"/>
        <v>646.3146030317389</v>
      </c>
      <c r="X47">
        <f t="shared" si="14"/>
        <v>663.12471165687157</v>
      </c>
      <c r="Y47">
        <f t="shared" si="14"/>
        <v>680.37203731325064</v>
      </c>
      <c r="Z47">
        <f t="shared" si="14"/>
        <v>698.06795165448489</v>
      </c>
      <c r="AA47">
        <f t="shared" si="14"/>
        <v>716.22412210149469</v>
      </c>
      <c r="AB47">
        <f t="shared" si="14"/>
        <v>734.85251953517468</v>
      </c>
      <c r="AC47">
        <f t="shared" si="14"/>
        <v>753.96542618913747</v>
      </c>
    </row>
    <row r="48" spans="1:33" x14ac:dyDescent="0.45">
      <c r="C48">
        <f t="shared" si="4"/>
        <v>2010</v>
      </c>
      <c r="D48">
        <f t="shared" ref="D48:AC48" si="15">$C48*POWER((1+$AG13),(D$1-$C$1))</f>
        <v>2071.3015522863138</v>
      </c>
      <c r="E48">
        <f t="shared" si="15"/>
        <v>2134.4726967680067</v>
      </c>
      <c r="F48">
        <f t="shared" si="15"/>
        <v>2199.5704528001625</v>
      </c>
      <c r="G48">
        <f t="shared" si="15"/>
        <v>2266.6535787303915</v>
      </c>
      <c r="H48">
        <f t="shared" si="15"/>
        <v>2335.7826249351187</v>
      </c>
      <c r="I48">
        <f t="shared" si="15"/>
        <v>2407.0199884733893</v>
      </c>
      <c r="J48">
        <f t="shared" si="15"/>
        <v>2480.4299694075207</v>
      </c>
      <c r="K48">
        <f t="shared" si="15"/>
        <v>2556.0788288414383</v>
      </c>
      <c r="L48">
        <f t="shared" si="15"/>
        <v>2634.0348487290821</v>
      </c>
      <c r="M48">
        <f t="shared" si="15"/>
        <v>2714.3683935068625</v>
      </c>
      <c r="N48">
        <f t="shared" si="15"/>
        <v>2797.1519736058067</v>
      </c>
      <c r="O48">
        <f t="shared" si="15"/>
        <v>2882.4603109007135</v>
      </c>
      <c r="P48">
        <f t="shared" si="15"/>
        <v>2970.3704061553926</v>
      </c>
      <c r="Q48">
        <f t="shared" si="15"/>
        <v>3060.9616085248726</v>
      </c>
      <c r="R48">
        <f t="shared" si="15"/>
        <v>3154.3156871773035</v>
      </c>
      <c r="S48">
        <f t="shared" si="15"/>
        <v>3250.5169051002085</v>
      </c>
      <c r="T48">
        <f t="shared" si="15"/>
        <v>3349.6520951576954</v>
      </c>
      <c r="U48">
        <f t="shared" si="15"/>
        <v>3451.8107384672821</v>
      </c>
      <c r="V48">
        <f t="shared" si="15"/>
        <v>3557.085045167089</v>
      </c>
      <c r="W48">
        <f t="shared" si="15"/>
        <v>3665.570037646281</v>
      </c>
      <c r="X48">
        <f t="shared" si="15"/>
        <v>3777.3636363139021</v>
      </c>
      <c r="Y48">
        <f t="shared" si="15"/>
        <v>3892.5667479835133</v>
      </c>
      <c r="Z48">
        <f t="shared" si="15"/>
        <v>4011.2833569534023</v>
      </c>
      <c r="AA48">
        <f t="shared" si="15"/>
        <v>4133.6206188645965</v>
      </c>
      <c r="AB48">
        <f t="shared" si="15"/>
        <v>4259.6889574213683</v>
      </c>
      <c r="AC48">
        <f t="shared" si="15"/>
        <v>4389.6021640615691</v>
      </c>
    </row>
    <row r="49" spans="3:29" x14ac:dyDescent="0.45">
      <c r="C49">
        <f t="shared" si="4"/>
        <v>286.78238770000002</v>
      </c>
      <c r="D49">
        <f t="shared" ref="D49:AC49" si="16">$C49*POWER((1+$AG14),(D$1-$C$1))</f>
        <v>296.13408797381084</v>
      </c>
      <c r="E49">
        <f t="shared" si="16"/>
        <v>305.79073827859315</v>
      </c>
      <c r="F49">
        <f t="shared" si="16"/>
        <v>315.76228274414865</v>
      </c>
      <c r="G49">
        <f t="shared" si="16"/>
        <v>326.05898976887215</v>
      </c>
      <c r="H49">
        <f t="shared" si="16"/>
        <v>336.69146259384144</v>
      </c>
      <c r="I49">
        <f t="shared" si="16"/>
        <v>347.67065022171744</v>
      </c>
      <c r="J49">
        <f t="shared" si="16"/>
        <v>359.00785869170056</v>
      </c>
      <c r="K49">
        <f t="shared" si="16"/>
        <v>370.71476272215125</v>
      </c>
      <c r="L49">
        <f t="shared" si="16"/>
        <v>382.80341773286636</v>
      </c>
      <c r="M49">
        <f t="shared" si="16"/>
        <v>395.28627225938982</v>
      </c>
      <c r="N49">
        <f t="shared" si="16"/>
        <v>408.17618077214263</v>
      </c>
      <c r="O49">
        <f t="shared" si="16"/>
        <v>421.48641691357182</v>
      </c>
      <c r="P49">
        <f t="shared" si="16"/>
        <v>435.2306871669511</v>
      </c>
      <c r="Q49">
        <f t="shared" si="16"/>
        <v>449.42314497090729</v>
      </c>
      <c r="R49">
        <f t="shared" si="16"/>
        <v>464.07840529420832</v>
      </c>
      <c r="S49">
        <f t="shared" si="16"/>
        <v>479.21155968582133</v>
      </c>
      <c r="T49">
        <f t="shared" si="16"/>
        <v>494.83819181573853</v>
      </c>
      <c r="U49">
        <f t="shared" si="16"/>
        <v>510.97439352257476</v>
      </c>
      <c r="V49">
        <f t="shared" si="16"/>
        <v>527.63678138446141</v>
      </c>
      <c r="W49">
        <f t="shared" si="16"/>
        <v>544.84251383030278</v>
      </c>
      <c r="X49">
        <f t="shared" si="16"/>
        <v>562.60930880901208</v>
      </c>
      <c r="Y49">
        <f t="shared" si="16"/>
        <v>580.95546203492631</v>
      </c>
      <c r="Z49">
        <f t="shared" si="16"/>
        <v>599.89986582818574</v>
      </c>
      <c r="AA49">
        <f t="shared" si="16"/>
        <v>619.46202856948059</v>
      </c>
      <c r="AB49">
        <f t="shared" si="16"/>
        <v>639.66209478919779</v>
      </c>
      <c r="AC49">
        <f t="shared" si="16"/>
        <v>660.52086591165664</v>
      </c>
    </row>
    <row r="50" spans="3:29" x14ac:dyDescent="0.45">
      <c r="C50">
        <f t="shared" si="4"/>
        <v>521.5428124</v>
      </c>
      <c r="D50">
        <f t="shared" ref="D50:AC50" si="17">$C50*POWER((1+$AG15),(D$1-$C$1))</f>
        <v>538.54982632397162</v>
      </c>
      <c r="E50">
        <f t="shared" si="17"/>
        <v>556.1114227591645</v>
      </c>
      <c r="F50">
        <f t="shared" si="17"/>
        <v>574.24568611258417</v>
      </c>
      <c r="G50">
        <f t="shared" si="17"/>
        <v>592.97129050650904</v>
      </c>
      <c r="H50">
        <f t="shared" si="17"/>
        <v>612.30751900854261</v>
      </c>
      <c r="I50">
        <f t="shared" si="17"/>
        <v>632.27428348874037</v>
      </c>
      <c r="J50">
        <f t="shared" si="17"/>
        <v>652.89214512425849</v>
      </c>
      <c r="K50">
        <f t="shared" si="17"/>
        <v>674.18233557263898</v>
      </c>
      <c r="L50">
        <f t="shared" si="17"/>
        <v>696.16677883553609</v>
      </c>
      <c r="M50">
        <f t="shared" si="17"/>
        <v>718.86811383539782</v>
      </c>
      <c r="N50">
        <f t="shared" si="17"/>
        <v>742.30971772835142</v>
      </c>
      <c r="O50">
        <f t="shared" si="17"/>
        <v>766.5157299773</v>
      </c>
      <c r="P50">
        <f t="shared" si="17"/>
        <v>791.51107721001983</v>
      </c>
      <c r="Q50">
        <f t="shared" si="17"/>
        <v>817.32149888785591</v>
      </c>
      <c r="R50">
        <f t="shared" si="17"/>
        <v>843.97357381145059</v>
      </c>
      <c r="S50">
        <f t="shared" si="17"/>
        <v>871.49474749079752</v>
      </c>
      <c r="T50">
        <f t="shared" si="17"/>
        <v>899.91336040780709</v>
      </c>
      <c r="U50">
        <f t="shared" si="17"/>
        <v>929.25867720048791</v>
      </c>
      <c r="V50">
        <f t="shared" si="17"/>
        <v>959.56091679879569</v>
      </c>
      <c r="W50">
        <f t="shared" si="17"/>
        <v>990.85128354318476</v>
      </c>
      <c r="X50">
        <f t="shared" si="17"/>
        <v>1023.161999317904</v>
      </c>
      <c r="Y50">
        <f t="shared" si="17"/>
        <v>1056.5263367321304</v>
      </c>
      <c r="Z50">
        <f t="shared" si="17"/>
        <v>1090.9786533831077</v>
      </c>
      <c r="AA50">
        <f t="shared" si="17"/>
        <v>1126.5544272365723</v>
      </c>
      <c r="AB50">
        <f t="shared" si="17"/>
        <v>1163.2902931609021</v>
      </c>
      <c r="AC50">
        <f t="shared" si="17"/>
        <v>1201.2240806526086</v>
      </c>
    </row>
    <row r="51" spans="3:29" x14ac:dyDescent="0.45">
      <c r="C51">
        <f t="shared" si="4"/>
        <v>328.26763990000001</v>
      </c>
      <c r="D51">
        <f t="shared" ref="D51:AC51" si="18">$C51*POWER((1+$AG16),(D$1-$C$1))</f>
        <v>338.97213469781724</v>
      </c>
      <c r="E51">
        <f t="shared" si="18"/>
        <v>350.02569286633837</v>
      </c>
      <c r="F51">
        <f t="shared" si="18"/>
        <v>361.43969702931798</v>
      </c>
      <c r="G51">
        <f t="shared" si="18"/>
        <v>373.22590098702028</v>
      </c>
      <c r="H51">
        <f t="shared" si="18"/>
        <v>385.39644181993111</v>
      </c>
      <c r="I51">
        <f t="shared" si="18"/>
        <v>397.96385238716056</v>
      </c>
      <c r="J51">
        <f t="shared" si="18"/>
        <v>410.94107423240672</v>
      </c>
      <c r="K51">
        <f t="shared" si="18"/>
        <v>424.34147091077034</v>
      </c>
      <c r="L51">
        <f t="shared" si="18"/>
        <v>438.17884175014461</v>
      </c>
      <c r="M51">
        <f t="shared" si="18"/>
        <v>452.4674360613501</v>
      </c>
      <c r="N51">
        <f t="shared" si="18"/>
        <v>467.22196781164968</v>
      </c>
      <c r="O51">
        <f t="shared" si="18"/>
        <v>482.45763077675127</v>
      </c>
      <c r="P51">
        <f t="shared" si="18"/>
        <v>498.19011418690457</v>
      </c>
      <c r="Q51">
        <f t="shared" si="18"/>
        <v>514.43561888320141</v>
      </c>
      <c r="R51">
        <f t="shared" si="18"/>
        <v>531.21087400071667</v>
      </c>
      <c r="S51">
        <f t="shared" si="18"/>
        <v>548.53315419567241</v>
      </c>
      <c r="T51">
        <f t="shared" si="18"/>
        <v>566.42029743436194</v>
      </c>
      <c r="U51">
        <f t="shared" si="18"/>
        <v>584.89072336215452</v>
      </c>
      <c r="V51">
        <f t="shared" si="18"/>
        <v>603.96345227149504</v>
      </c>
      <c r="W51">
        <f t="shared" si="18"/>
        <v>623.65812468843342</v>
      </c>
      <c r="X51">
        <f t="shared" si="18"/>
        <v>643.99502159784993</v>
      </c>
      <c r="Y51">
        <f t="shared" si="18"/>
        <v>664.99508532820869</v>
      </c>
      <c r="Z51">
        <f t="shared" si="18"/>
        <v>686.67994111733947</v>
      </c>
      <c r="AA51">
        <f t="shared" si="18"/>
        <v>709.07191938146332</v>
      </c>
      <c r="AB51">
        <f t="shared" si="18"/>
        <v>732.19407871038584</v>
      </c>
      <c r="AC51">
        <f t="shared" si="18"/>
        <v>756.07022961254449</v>
      </c>
    </row>
    <row r="52" spans="3:29" x14ac:dyDescent="0.45">
      <c r="C52">
        <f t="shared" si="4"/>
        <v>950</v>
      </c>
      <c r="D52">
        <f t="shared" ref="D52:AC52" si="19">$C52*POWER((1+$AG17),(D$1-$C$1))</f>
        <v>950</v>
      </c>
      <c r="E52">
        <f t="shared" si="19"/>
        <v>950</v>
      </c>
      <c r="F52">
        <f t="shared" si="19"/>
        <v>950</v>
      </c>
      <c r="G52">
        <f t="shared" si="19"/>
        <v>950</v>
      </c>
      <c r="H52">
        <f t="shared" si="19"/>
        <v>950</v>
      </c>
      <c r="I52">
        <f t="shared" si="19"/>
        <v>950</v>
      </c>
      <c r="J52">
        <f t="shared" si="19"/>
        <v>950</v>
      </c>
      <c r="K52">
        <f t="shared" si="19"/>
        <v>950</v>
      </c>
      <c r="L52">
        <f t="shared" si="19"/>
        <v>950</v>
      </c>
      <c r="M52">
        <f t="shared" si="19"/>
        <v>950</v>
      </c>
      <c r="N52">
        <f t="shared" si="19"/>
        <v>950</v>
      </c>
      <c r="O52">
        <f t="shared" si="19"/>
        <v>950</v>
      </c>
      <c r="P52">
        <f t="shared" si="19"/>
        <v>950</v>
      </c>
      <c r="Q52">
        <f t="shared" si="19"/>
        <v>950</v>
      </c>
      <c r="R52">
        <f t="shared" si="19"/>
        <v>950</v>
      </c>
      <c r="S52">
        <f t="shared" si="19"/>
        <v>950</v>
      </c>
      <c r="T52">
        <f t="shared" si="19"/>
        <v>950</v>
      </c>
      <c r="U52">
        <f t="shared" si="19"/>
        <v>950</v>
      </c>
      <c r="V52">
        <f t="shared" si="19"/>
        <v>950</v>
      </c>
      <c r="W52">
        <f t="shared" si="19"/>
        <v>950</v>
      </c>
      <c r="X52">
        <f t="shared" si="19"/>
        <v>950</v>
      </c>
      <c r="Y52">
        <f t="shared" si="19"/>
        <v>950</v>
      </c>
      <c r="Z52">
        <f t="shared" si="19"/>
        <v>950</v>
      </c>
      <c r="AA52">
        <f t="shared" si="19"/>
        <v>950</v>
      </c>
      <c r="AB52">
        <f t="shared" si="19"/>
        <v>950</v>
      </c>
      <c r="AC52">
        <f t="shared" si="19"/>
        <v>950</v>
      </c>
    </row>
    <row r="53" spans="3:29" x14ac:dyDescent="0.45">
      <c r="C53">
        <f t="shared" si="4"/>
        <v>210648</v>
      </c>
      <c r="D53">
        <f t="shared" ref="D53:AC53" si="20">$C53*POWER((1+$AG18),(D$1-$C$1))</f>
        <v>213957.05794369488</v>
      </c>
      <c r="E53">
        <f t="shared" si="20"/>
        <v>217318.09769815809</v>
      </c>
      <c r="F53">
        <f t="shared" si="20"/>
        <v>220731.93584282006</v>
      </c>
      <c r="G53">
        <f t="shared" si="20"/>
        <v>224199.40178471286</v>
      </c>
      <c r="H53">
        <f t="shared" si="20"/>
        <v>227721.33795997844</v>
      </c>
      <c r="I53">
        <f t="shared" si="20"/>
        <v>231298.60003854215</v>
      </c>
      <c r="J53">
        <f t="shared" si="20"/>
        <v>234932.05713200165</v>
      </c>
      <c r="K53">
        <f t="shared" si="20"/>
        <v>238622.59200478101</v>
      </c>
      <c r="L53">
        <f t="shared" si="20"/>
        <v>242371.10128860272</v>
      </c>
      <c r="M53">
        <f t="shared" si="20"/>
        <v>246178.49570032812</v>
      </c>
      <c r="N53">
        <f t="shared" si="20"/>
        <v>250045.70026321991</v>
      </c>
      <c r="O53">
        <f t="shared" si="20"/>
        <v>253973.65453168083</v>
      </c>
      <c r="P53">
        <f t="shared" si="20"/>
        <v>257963.31281952254</v>
      </c>
      <c r="Q53">
        <f t="shared" si="20"/>
        <v>262015.6444318202</v>
      </c>
      <c r="R53">
        <f t="shared" si="20"/>
        <v>266131.6339004098</v>
      </c>
      <c r="S53">
        <f t="shared" si="20"/>
        <v>270312.28122308385</v>
      </c>
      <c r="T53">
        <f t="shared" si="20"/>
        <v>274558.60210654599</v>
      </c>
      <c r="U53">
        <f t="shared" si="20"/>
        <v>278871.62821318087</v>
      </c>
      <c r="V53">
        <f t="shared" si="20"/>
        <v>283252.4074117014</v>
      </c>
      <c r="W53">
        <f t="shared" si="20"/>
        <v>287702.00403173291</v>
      </c>
      <c r="X53">
        <f t="shared" si="20"/>
        <v>292221.49912239664</v>
      </c>
      <c r="Y53">
        <f t="shared" si="20"/>
        <v>296811.99071495573</v>
      </c>
      <c r="Z53">
        <f t="shared" si="20"/>
        <v>301474.59408958652</v>
      </c>
      <c r="AA53">
        <f t="shared" si="20"/>
        <v>306210.44204634067</v>
      </c>
      <c r="AB53">
        <f t="shared" si="20"/>
        <v>311020.685180364</v>
      </c>
      <c r="AC53">
        <f t="shared" si="20"/>
        <v>315906.49216143915</v>
      </c>
    </row>
    <row r="54" spans="3:29" x14ac:dyDescent="0.45">
      <c r="C54">
        <f t="shared" si="4"/>
        <v>1043</v>
      </c>
      <c r="D54">
        <f t="shared" ref="D54:AC54" si="21">$C54*POWER((1+$AG19),(D$1-$C$1))</f>
        <v>1067.2149939493881</v>
      </c>
      <c r="E54">
        <f t="shared" si="21"/>
        <v>1091.9921795881044</v>
      </c>
      <c r="F54">
        <f t="shared" si="21"/>
        <v>1117.3446091389242</v>
      </c>
      <c r="G54">
        <f t="shared" si="21"/>
        <v>1143.2856378538625</v>
      </c>
      <c r="H54">
        <f t="shared" si="21"/>
        <v>1169.8289310495038</v>
      </c>
      <c r="I54">
        <f t="shared" si="21"/>
        <v>1196.9884713056715</v>
      </c>
      <c r="J54">
        <f t="shared" si="21"/>
        <v>1224.7785658312268</v>
      </c>
      <c r="K54">
        <f t="shared" si="21"/>
        <v>1253.2138540008755</v>
      </c>
      <c r="L54">
        <f t="shared" si="21"/>
        <v>1282.3093150669549</v>
      </c>
      <c r="M54">
        <f t="shared" si="21"/>
        <v>1312.0802760502631</v>
      </c>
      <c r="N54">
        <f t="shared" si="21"/>
        <v>1342.5424198140875</v>
      </c>
      <c r="O54">
        <f t="shared" si="21"/>
        <v>1373.7117933256839</v>
      </c>
      <c r="P54">
        <f t="shared" si="21"/>
        <v>1405.6048161095619</v>
      </c>
      <c r="Q54">
        <f t="shared" si="21"/>
        <v>1438.2382888970251</v>
      </c>
      <c r="R54">
        <f t="shared" si="21"/>
        <v>1471.6294024765264</v>
      </c>
      <c r="S54">
        <f t="shared" si="21"/>
        <v>1505.7957467494994</v>
      </c>
      <c r="T54">
        <f t="shared" si="21"/>
        <v>1540.7553199964348</v>
      </c>
      <c r="U54">
        <f t="shared" si="21"/>
        <v>1576.5265383580854</v>
      </c>
      <c r="V54">
        <f t="shared" si="21"/>
        <v>1613.1282455367918</v>
      </c>
      <c r="W54">
        <f t="shared" si="21"/>
        <v>1650.5797227230439</v>
      </c>
      <c r="X54">
        <f t="shared" si="21"/>
        <v>1688.9006987524988</v>
      </c>
      <c r="Y54">
        <f t="shared" si="21"/>
        <v>1728.1113604988163</v>
      </c>
      <c r="Z54">
        <f t="shared" si="21"/>
        <v>1768.2323635077787</v>
      </c>
      <c r="AA54">
        <f t="shared" si="21"/>
        <v>1809.2848428782997</v>
      </c>
      <c r="AB54">
        <f t="shared" si="21"/>
        <v>1851.2904243960543</v>
      </c>
      <c r="AC54">
        <f t="shared" si="21"/>
        <v>1894.2712359255947</v>
      </c>
    </row>
    <row r="55" spans="3:29" x14ac:dyDescent="0.45">
      <c r="C55">
        <f t="shared" si="4"/>
        <v>1352</v>
      </c>
      <c r="D55">
        <f t="shared" ref="D55:AC55" si="22">$C55*POWER((1+$AG20),(D$1-$C$1))</f>
        <v>1384.7036081864785</v>
      </c>
      <c r="E55">
        <f t="shared" si="22"/>
        <v>1418.1982858910151</v>
      </c>
      <c r="F55">
        <f t="shared" si="22"/>
        <v>1452.5031683411003</v>
      </c>
      <c r="G55">
        <f t="shared" si="22"/>
        <v>1487.6378536273769</v>
      </c>
      <c r="H55">
        <f t="shared" si="22"/>
        <v>1523.6224138998648</v>
      </c>
      <c r="I55">
        <f t="shared" si="22"/>
        <v>1560.4774068350109</v>
      </c>
      <c r="J55">
        <f t="shared" si="22"/>
        <v>1598.2238873801173</v>
      </c>
      <c r="K55">
        <f t="shared" si="22"/>
        <v>1636.8834197818555</v>
      </c>
      <c r="L55">
        <f t="shared" si="22"/>
        <v>1676.478089905738</v>
      </c>
      <c r="M55">
        <f t="shared" si="22"/>
        <v>1717.0305178535878</v>
      </c>
      <c r="N55">
        <f t="shared" si="22"/>
        <v>1758.5638708862134</v>
      </c>
      <c r="O55">
        <f t="shared" si="22"/>
        <v>1801.1018766586687</v>
      </c>
      <c r="P55">
        <f t="shared" si="22"/>
        <v>1844.6688367756631</v>
      </c>
      <c r="Q55">
        <f t="shared" si="22"/>
        <v>1889.289640674863</v>
      </c>
      <c r="R55">
        <f t="shared" si="22"/>
        <v>1934.989779846019</v>
      </c>
      <c r="S55">
        <f t="shared" si="22"/>
        <v>1981.7953623940402</v>
      </c>
      <c r="T55">
        <f t="shared" si="22"/>
        <v>2029.7331279543323</v>
      </c>
      <c r="U55">
        <f t="shared" si="22"/>
        <v>2078.8304629689283</v>
      </c>
      <c r="V55">
        <f t="shared" si="22"/>
        <v>2129.1154163321321</v>
      </c>
      <c r="W55">
        <f t="shared" si="22"/>
        <v>2180.6167154146151</v>
      </c>
      <c r="X55">
        <f t="shared" si="22"/>
        <v>2233.3637824751218</v>
      </c>
      <c r="Y55">
        <f t="shared" si="22"/>
        <v>2287.3867514691588</v>
      </c>
      <c r="Z55">
        <f t="shared" si="22"/>
        <v>2342.7164852642686</v>
      </c>
      <c r="AA55">
        <f t="shared" si="22"/>
        <v>2399.3845932717295</v>
      </c>
      <c r="AB55">
        <f t="shared" si="22"/>
        <v>2457.4234495047413</v>
      </c>
      <c r="AC55">
        <f t="shared" si="22"/>
        <v>2516.8662110734299</v>
      </c>
    </row>
    <row r="56" spans="3:29" x14ac:dyDescent="0.45">
      <c r="C56">
        <f t="shared" si="4"/>
        <v>11302.301810000001</v>
      </c>
      <c r="D56">
        <f t="shared" ref="D56:AC56" si="23">$C56*POWER((1+$AG21),(D$1-$C$1))</f>
        <v>11673.477900776219</v>
      </c>
      <c r="E56">
        <f t="shared" si="23"/>
        <v>12056.843693498105</v>
      </c>
      <c r="F56">
        <f t="shared" si="23"/>
        <v>12452.799507144222</v>
      </c>
      <c r="G56">
        <f t="shared" si="23"/>
        <v>12861.758807469418</v>
      </c>
      <c r="H56">
        <f t="shared" si="23"/>
        <v>13284.148638754863</v>
      </c>
      <c r="I56">
        <f t="shared" si="23"/>
        <v>13720.410069737056</v>
      </c>
      <c r="J56">
        <f t="shared" si="23"/>
        <v>14170.998654181489</v>
      </c>
      <c r="K56">
        <f t="shared" si="23"/>
        <v>14636.384906581885</v>
      </c>
      <c r="L56">
        <f t="shared" si="23"/>
        <v>15117.054793481773</v>
      </c>
      <c r="M56">
        <f t="shared" si="23"/>
        <v>15613.510240931415</v>
      </c>
      <c r="N56">
        <f t="shared" si="23"/>
        <v>16126.26965861001</v>
      </c>
      <c r="O56">
        <f t="shared" si="23"/>
        <v>16655.868481160473</v>
      </c>
      <c r="P56">
        <f t="shared" si="23"/>
        <v>17202.859727302039</v>
      </c>
      <c r="Q56">
        <f t="shared" si="23"/>
        <v>17767.814577304543</v>
      </c>
      <c r="R56">
        <f t="shared" si="23"/>
        <v>18351.32296942742</v>
      </c>
      <c r="S56">
        <f t="shared" si="23"/>
        <v>18953.994215946175</v>
      </c>
      <c r="T56">
        <f t="shared" si="23"/>
        <v>19576.45763940964</v>
      </c>
      <c r="U56">
        <f t="shared" si="23"/>
        <v>20219.363229792409</v>
      </c>
      <c r="V56">
        <f t="shared" si="23"/>
        <v>20883.382323228627</v>
      </c>
      <c r="W56">
        <f t="shared" si="23"/>
        <v>21569.208303035935</v>
      </c>
      <c r="X56">
        <f t="shared" si="23"/>
        <v>22277.55732376155</v>
      </c>
      <c r="Y56">
        <f t="shared" si="23"/>
        <v>23009.169059006552</v>
      </c>
      <c r="Z56">
        <f t="shared" si="23"/>
        <v>23764.807473809346</v>
      </c>
      <c r="AA56">
        <f t="shared" si="23"/>
        <v>24545.261622394679</v>
      </c>
      <c r="AB56">
        <f t="shared" si="23"/>
        <v>25351.346472121408</v>
      </c>
      <c r="AC56">
        <f t="shared" si="23"/>
        <v>26183.903754489314</v>
      </c>
    </row>
    <row r="57" spans="3:29" x14ac:dyDescent="0.45">
      <c r="C57">
        <f t="shared" si="4"/>
        <v>4154.7816970000003</v>
      </c>
      <c r="D57">
        <f t="shared" ref="D57:AC57" si="24">$C57*POWER((1+$AG22),(D$1-$C$1))</f>
        <v>4294.2766820065499</v>
      </c>
      <c r="E57">
        <f t="shared" si="24"/>
        <v>4438.4551503489447</v>
      </c>
      <c r="F57">
        <f t="shared" si="24"/>
        <v>4587.4743479393319</v>
      </c>
      <c r="G57">
        <f t="shared" si="24"/>
        <v>4741.4968001528359</v>
      </c>
      <c r="H57">
        <f t="shared" si="24"/>
        <v>4900.690489083232</v>
      </c>
      <c r="I57">
        <f t="shared" si="24"/>
        <v>5065.2290367498917</v>
      </c>
      <c r="J57">
        <f t="shared" si="24"/>
        <v>5235.2918944558342</v>
      </c>
      <c r="K57">
        <f t="shared" si="24"/>
        <v>5411.0645385033768</v>
      </c>
      <c r="L57">
        <f t="shared" si="24"/>
        <v>5592.7386724808657</v>
      </c>
      <c r="M57">
        <f t="shared" si="24"/>
        <v>5780.5124363410914</v>
      </c>
      <c r="N57">
        <f t="shared" si="24"/>
        <v>5974.5906224994178</v>
      </c>
      <c r="O57">
        <f t="shared" si="24"/>
        <v>6175.1848991873139</v>
      </c>
      <c r="P57">
        <f t="shared" si="24"/>
        <v>6382.5140413048875</v>
      </c>
      <c r="Q57">
        <f t="shared" si="24"/>
        <v>6596.8041690241789</v>
      </c>
      <c r="R57">
        <f t="shared" si="24"/>
        <v>6818.2889944034823</v>
      </c>
      <c r="S57">
        <f t="shared" si="24"/>
        <v>7047.210076281599</v>
      </c>
      <c r="T57">
        <f t="shared" si="24"/>
        <v>7283.8170837300822</v>
      </c>
      <c r="U57">
        <f t="shared" si="24"/>
        <v>7528.3680683507728</v>
      </c>
      <c r="V57">
        <f t="shared" si="24"/>
        <v>7781.1297457155933</v>
      </c>
      <c r="W57">
        <f t="shared" si="24"/>
        <v>8042.3777862555698</v>
      </c>
      <c r="X57">
        <f t="shared" si="24"/>
        <v>8312.3971159163266</v>
      </c>
      <c r="Y57">
        <f t="shared" si="24"/>
        <v>8591.4822269079541</v>
      </c>
      <c r="Z57">
        <f t="shared" si="24"/>
        <v>8879.93749888817</v>
      </c>
      <c r="AA57">
        <f t="shared" si="24"/>
        <v>9178.0775309290657</v>
      </c>
      <c r="AB57">
        <f t="shared" si="24"/>
        <v>9486.227484629484</v>
      </c>
      <c r="AC57">
        <f t="shared" si="24"/>
        <v>9804.7234387472636</v>
      </c>
    </row>
    <row r="58" spans="3:29" x14ac:dyDescent="0.45">
      <c r="C58">
        <f t="shared" si="4"/>
        <v>4290.8015969999997</v>
      </c>
      <c r="D58">
        <f t="shared" ref="D58:AC58" si="25">$C58*POWER((1+$AG23),(D$1-$C$1))</f>
        <v>4335.8692205953766</v>
      </c>
      <c r="E58">
        <f t="shared" si="25"/>
        <v>4381.4102034572261</v>
      </c>
      <c r="F58">
        <f t="shared" si="25"/>
        <v>4427.4295174251365</v>
      </c>
      <c r="G58">
        <f t="shared" si="25"/>
        <v>4473.9321865594748</v>
      </c>
      <c r="H58">
        <f t="shared" si="25"/>
        <v>4520.9232876898732</v>
      </c>
      <c r="I58">
        <f t="shared" si="25"/>
        <v>4568.4079509694893</v>
      </c>
      <c r="J58">
        <f t="shared" si="25"/>
        <v>4616.3913604350701</v>
      </c>
      <c r="K58">
        <f t="shared" si="25"/>
        <v>4664.8787545729165</v>
      </c>
      <c r="L58">
        <f t="shared" si="25"/>
        <v>4713.8754268907769</v>
      </c>
      <c r="M58">
        <f t="shared" si="25"/>
        <v>4763.3867264957616</v>
      </c>
      <c r="N58">
        <f t="shared" si="25"/>
        <v>4813.4180586783132</v>
      </c>
      <c r="O58">
        <f t="shared" si="25"/>
        <v>4863.9748855023199</v>
      </c>
      <c r="P58">
        <f t="shared" si="25"/>
        <v>4915.0627264014302</v>
      </c>
      <c r="Q58">
        <f t="shared" si="25"/>
        <v>4966.6871587816186</v>
      </c>
      <c r="R58">
        <f t="shared" si="25"/>
        <v>5018.8538186300866</v>
      </c>
      <c r="S58">
        <f t="shared" si="25"/>
        <v>5071.5684011305657</v>
      </c>
      <c r="T58">
        <f t="shared" si="25"/>
        <v>5124.8366612850705</v>
      </c>
      <c r="U58">
        <f t="shared" si="25"/>
        <v>5178.6644145421933</v>
      </c>
      <c r="V58">
        <f t="shared" si="25"/>
        <v>5233.0575374319915</v>
      </c>
      <c r="W58">
        <f t="shared" si="25"/>
        <v>5288.021968207544</v>
      </c>
      <c r="X58">
        <f t="shared" si="25"/>
        <v>5343.5637074932483</v>
      </c>
      <c r="Y58">
        <f t="shared" si="25"/>
        <v>5399.6888189399306</v>
      </c>
      <c r="Z58">
        <f t="shared" si="25"/>
        <v>5456.403429886821</v>
      </c>
      <c r="AA58">
        <f t="shared" si="25"/>
        <v>5513.7137320305028</v>
      </c>
      <c r="AB58">
        <f t="shared" si="25"/>
        <v>5571.6259821008734</v>
      </c>
      <c r="AC58">
        <f t="shared" si="25"/>
        <v>5630.1465025442121</v>
      </c>
    </row>
    <row r="59" spans="3:29" x14ac:dyDescent="0.45">
      <c r="C59">
        <f t="shared" si="4"/>
        <v>13925</v>
      </c>
      <c r="D59">
        <f t="shared" ref="D59:AC59" si="26">$C59*POWER((1+$AG24),(D$1-$C$1))</f>
        <v>14268.801636885546</v>
      </c>
      <c r="E59">
        <f t="shared" si="26"/>
        <v>14621.09157291114</v>
      </c>
      <c r="F59">
        <f t="shared" si="26"/>
        <v>14982.079380151379</v>
      </c>
      <c r="G59">
        <f t="shared" si="26"/>
        <v>15351.979804915849</v>
      </c>
      <c r="H59">
        <f t="shared" si="26"/>
        <v>15731.012895498536</v>
      </c>
      <c r="I59">
        <f t="shared" si="26"/>
        <v>16119.404133081305</v>
      </c>
      <c r="J59">
        <f t="shared" si="26"/>
        <v>16517.38456586931</v>
      </c>
      <c r="K59">
        <f t="shared" si="26"/>
        <v>16925.190946538172</v>
      </c>
      <c r="L59">
        <f t="shared" si="26"/>
        <v>17343.065873074636</v>
      </c>
      <c r="M59">
        <f t="shared" si="26"/>
        <v>17771.257933094523</v>
      </c>
      <c r="N59">
        <f t="shared" si="26"/>
        <v>18210.021851723832</v>
      </c>
      <c r="O59">
        <f t="shared" si="26"/>
        <v>18659.618643130958</v>
      </c>
      <c r="P59">
        <f t="shared" si="26"/>
        <v>19120.315765800147</v>
      </c>
      <c r="Q59">
        <f t="shared" si="26"/>
        <v>19592.387281638614</v>
      </c>
      <c r="R59">
        <f t="shared" si="26"/>
        <v>20076.114019011889</v>
      </c>
      <c r="S59">
        <f t="shared" si="26"/>
        <v>20571.783739804505</v>
      </c>
      <c r="T59">
        <f t="shared" si="26"/>
        <v>21079.691310605242</v>
      </c>
      <c r="U59">
        <f t="shared" si="26"/>
        <v>21600.138878118931</v>
      </c>
      <c r="V59">
        <f t="shared" si="26"/>
        <v>22133.43604890905</v>
      </c>
      <c r="W59">
        <f t="shared" si="26"/>
        <v>22679.900073578097</v>
      </c>
      <c r="X59">
        <f t="shared" si="26"/>
        <v>23239.856035495279</v>
      </c>
      <c r="Y59">
        <f t="shared" si="26"/>
        <v>23813.637044183808</v>
      </c>
      <c r="Z59">
        <f t="shared" si="26"/>
        <v>24401.584433482811</v>
      </c>
      <c r="AA59">
        <f t="shared" si="26"/>
        <v>25004.047964601825</v>
      </c>
      <c r="AB59">
        <f t="shared" si="26"/>
        <v>25621.386034188523</v>
      </c>
      <c r="AC59">
        <f t="shared" si="26"/>
        <v>26253.965887533624</v>
      </c>
    </row>
    <row r="60" spans="3:29" x14ac:dyDescent="0.45">
      <c r="C60">
        <f t="shared" si="4"/>
        <v>16110.71032</v>
      </c>
      <c r="D60">
        <f t="shared" ref="D60:AC60" si="27">$C60*POWER((1+$AG25),(D$1-$C$1))</f>
        <v>16500.47723862229</v>
      </c>
      <c r="E60">
        <f t="shared" si="27"/>
        <v>16899.673800496479</v>
      </c>
      <c r="F60">
        <f t="shared" si="27"/>
        <v>17308.528137276669</v>
      </c>
      <c r="G60">
        <f t="shared" si="27"/>
        <v>17727.273899813197</v>
      </c>
      <c r="H60">
        <f t="shared" si="27"/>
        <v>18156.150391678733</v>
      </c>
      <c r="I60">
        <f t="shared" si="27"/>
        <v>18595.402705924771</v>
      </c>
      <c r="J60">
        <f t="shared" si="27"/>
        <v>19045.281865146655</v>
      </c>
      <c r="K60">
        <f t="shared" si="27"/>
        <v>19506.044964937224</v>
      </c>
      <c r="L60">
        <f t="shared" si="27"/>
        <v>19977.955320811056</v>
      </c>
      <c r="M60">
        <f t="shared" si="27"/>
        <v>20461.282618683188</v>
      </c>
      <c r="N60">
        <f t="shared" si="27"/>
        <v>20956.303068988447</v>
      </c>
      <c r="O60">
        <f t="shared" si="27"/>
        <v>21463.299564529334</v>
      </c>
      <c r="P60">
        <f t="shared" si="27"/>
        <v>21982.561842142786</v>
      </c>
      <c r="Q60">
        <f t="shared" si="27"/>
        <v>22514.38664827808</v>
      </c>
      <c r="R60">
        <f t="shared" si="27"/>
        <v>23059.077908580635</v>
      </c>
      <c r="S60">
        <f t="shared" si="27"/>
        <v>23616.946901578503</v>
      </c>
      <c r="T60">
        <f t="shared" si="27"/>
        <v>24188.312436570908</v>
      </c>
      <c r="U60">
        <f t="shared" si="27"/>
        <v>24773.50103582042</v>
      </c>
      <c r="V60">
        <f t="shared" si="27"/>
        <v>25372.847121152918</v>
      </c>
      <c r="W60">
        <f t="shared" si="27"/>
        <v>25986.693205071962</v>
      </c>
      <c r="X60">
        <f t="shared" si="27"/>
        <v>26615.390086496845</v>
      </c>
      <c r="Y60">
        <f t="shared" si="27"/>
        <v>27259.29705123607</v>
      </c>
      <c r="Z60">
        <f t="shared" si="27"/>
        <v>27918.782077310945</v>
      </c>
      <c r="AA60">
        <f t="shared" si="27"/>
        <v>28594.222045246552</v>
      </c>
      <c r="AB60">
        <f t="shared" si="27"/>
        <v>29286.002953450312</v>
      </c>
      <c r="AC60">
        <f t="shared" si="27"/>
        <v>29994.520138801177</v>
      </c>
    </row>
    <row r="61" spans="3:29" x14ac:dyDescent="0.45">
      <c r="C61">
        <f t="shared" si="4"/>
        <v>11592.56034</v>
      </c>
      <c r="D61">
        <f t="shared" ref="D61:AC61" si="28">$C61*POWER((1+$AG26),(D$1-$C$1))</f>
        <v>12021.329544160923</v>
      </c>
      <c r="E61">
        <f t="shared" si="28"/>
        <v>12465.957456410899</v>
      </c>
      <c r="F61">
        <f t="shared" si="28"/>
        <v>12927.030636185198</v>
      </c>
      <c r="G61">
        <f t="shared" si="28"/>
        <v>13405.157337748778</v>
      </c>
      <c r="H61">
        <f t="shared" si="28"/>
        <v>13900.968312613932</v>
      </c>
      <c r="I61">
        <f t="shared" si="28"/>
        <v>14415.117641636591</v>
      </c>
      <c r="J61">
        <f t="shared" si="28"/>
        <v>14948.283597889063</v>
      </c>
      <c r="K61">
        <f t="shared" si="28"/>
        <v>15501.169541447471</v>
      </c>
      <c r="L61">
        <f t="shared" si="28"/>
        <v>16074.504847274309</v>
      </c>
      <c r="M61">
        <f t="shared" si="28"/>
        <v>16669.045867420227</v>
      </c>
      <c r="N61">
        <f t="shared" si="28"/>
        <v>17285.576928814357</v>
      </c>
      <c r="O61">
        <f t="shared" si="28"/>
        <v>17924.911367959499</v>
      </c>
      <c r="P61">
        <f t="shared" si="28"/>
        <v>18587.892603897159</v>
      </c>
      <c r="Q61">
        <f t="shared" si="28"/>
        <v>19275.395250857862</v>
      </c>
      <c r="R61">
        <f t="shared" si="28"/>
        <v>19988.326272064653</v>
      </c>
      <c r="S61">
        <f t="shared" si="28"/>
        <v>20727.626176211801</v>
      </c>
      <c r="T61">
        <f t="shared" si="28"/>
        <v>21494.270258197183</v>
      </c>
      <c r="U61">
        <f t="shared" si="28"/>
        <v>22289.269885745125</v>
      </c>
      <c r="V61">
        <f t="shared" si="28"/>
        <v>23113.673833617002</v>
      </c>
      <c r="W61">
        <f t="shared" si="28"/>
        <v>23968.56966716977</v>
      </c>
      <c r="X61">
        <f t="shared" si="28"/>
        <v>24855.085177087578</v>
      </c>
      <c r="Y61">
        <f t="shared" si="28"/>
        <v>25774.389867179169</v>
      </c>
      <c r="Z61">
        <f t="shared" si="28"/>
        <v>26727.696497203899</v>
      </c>
      <c r="AA61">
        <f t="shared" si="28"/>
        <v>27716.26268276156</v>
      </c>
      <c r="AB61">
        <f t="shared" si="28"/>
        <v>28741.392554356669</v>
      </c>
      <c r="AC61">
        <f t="shared" si="28"/>
        <v>29804.438477825912</v>
      </c>
    </row>
    <row r="62" spans="3:29" x14ac:dyDescent="0.45">
      <c r="C62">
        <f t="shared" si="4"/>
        <v>6849.1511639999999</v>
      </c>
      <c r="D62">
        <f t="shared" ref="D62:AC62" si="29">$C62*POWER((1+$AG27),(D$1-$C$1))</f>
        <v>7077.4562026394415</v>
      </c>
      <c r="E62">
        <f t="shared" si="29"/>
        <v>7313.3714092281798</v>
      </c>
      <c r="F62">
        <f t="shared" si="29"/>
        <v>7557.1504560310123</v>
      </c>
      <c r="G62">
        <f t="shared" si="29"/>
        <v>7809.0554710548904</v>
      </c>
      <c r="H62">
        <f t="shared" si="29"/>
        <v>8069.3573199069942</v>
      </c>
      <c r="I62">
        <f t="shared" si="29"/>
        <v>8338.3358970480658</v>
      </c>
      <c r="J62">
        <f t="shared" si="29"/>
        <v>8616.2804267541997</v>
      </c>
      <c r="K62">
        <f t="shared" si="29"/>
        <v>8903.4897741106888</v>
      </c>
      <c r="L62">
        <f t="shared" si="29"/>
        <v>9200.272766372329</v>
      </c>
      <c r="M62">
        <f t="shared" si="29"/>
        <v>9506.9485250357338</v>
      </c>
      <c r="N62">
        <f t="shared" si="29"/>
        <v>9823.8468089807302</v>
      </c>
      <c r="O62">
        <f t="shared" si="29"/>
        <v>10151.308369049795</v>
      </c>
      <c r="P62">
        <f t="shared" si="29"/>
        <v>10489.685314446822</v>
      </c>
      <c r="Q62">
        <f t="shared" si="29"/>
        <v>10839.341491349151</v>
      </c>
      <c r="R62">
        <f t="shared" si="29"/>
        <v>11200.652874140027</v>
      </c>
      <c r="S62">
        <f t="shared" si="29"/>
        <v>11574.007969682125</v>
      </c>
      <c r="T62">
        <f t="shared" si="29"/>
        <v>11959.808235066877</v>
      </c>
      <c r="U62">
        <f t="shared" si="29"/>
        <v>12358.468509288745</v>
      </c>
      <c r="V62">
        <f t="shared" si="29"/>
        <v>12770.417459308663</v>
      </c>
      <c r="W62">
        <f t="shared" si="29"/>
        <v>13196.098040986251</v>
      </c>
      <c r="X62">
        <f t="shared" si="29"/>
        <v>13635.967975376452</v>
      </c>
      <c r="Y62">
        <f t="shared" si="29"/>
        <v>14090.50024090268</v>
      </c>
      <c r="Z62">
        <f t="shared" si="29"/>
        <v>14560.183581935793</v>
      </c>
      <c r="AA62">
        <f t="shared" si="29"/>
        <v>15045.523034325663</v>
      </c>
      <c r="AB62">
        <f t="shared" si="29"/>
        <v>15547.040468450487</v>
      </c>
      <c r="AC62">
        <f t="shared" si="29"/>
        <v>16065.275150367714</v>
      </c>
    </row>
    <row r="63" spans="3:29" x14ac:dyDescent="0.45">
      <c r="C63">
        <f t="shared" si="4"/>
        <v>2437.0489889999999</v>
      </c>
      <c r="D63">
        <f t="shared" ref="D63:AC63" si="30">$C63*POWER((1+$AG28),(D$1-$C$1))</f>
        <v>2507.2510839924412</v>
      </c>
      <c r="E63">
        <f t="shared" si="30"/>
        <v>2579.4754338363741</v>
      </c>
      <c r="F63">
        <f t="shared" si="30"/>
        <v>2653.7802919882629</v>
      </c>
      <c r="G63">
        <f t="shared" si="30"/>
        <v>2730.2255899646798</v>
      </c>
      <c r="H63">
        <f t="shared" si="30"/>
        <v>2808.8729856808163</v>
      </c>
      <c r="I63">
        <f t="shared" si="30"/>
        <v>2889.7859131814575</v>
      </c>
      <c r="J63">
        <f t="shared" si="30"/>
        <v>2973.0296338044996</v>
      </c>
      <c r="K63">
        <f t="shared" si="30"/>
        <v>3058.6712888183069</v>
      </c>
      <c r="L63">
        <f t="shared" si="30"/>
        <v>3146.7799535753434</v>
      </c>
      <c r="M63">
        <f t="shared" si="30"/>
        <v>3237.4266932257656</v>
      </c>
      <c r="N63">
        <f t="shared" si="30"/>
        <v>3330.6846200359105</v>
      </c>
      <c r="O63">
        <f t="shared" si="30"/>
        <v>3426.6289523579167</v>
      </c>
      <c r="P63">
        <f t="shared" si="30"/>
        <v>3525.3370752980254</v>
      </c>
      <c r="Q63">
        <f t="shared" si="30"/>
        <v>3626.8886031325151</v>
      </c>
      <c r="R63">
        <f t="shared" si="30"/>
        <v>3731.3654435215904</v>
      </c>
      <c r="S63">
        <f t="shared" si="30"/>
        <v>3838.8518635730402</v>
      </c>
      <c r="T63">
        <f t="shared" si="30"/>
        <v>3949.4345578089278</v>
      </c>
      <c r="U63">
        <f t="shared" si="30"/>
        <v>4063.2027180901459</v>
      </c>
      <c r="V63">
        <f t="shared" si="30"/>
        <v>4180.2481055552353</v>
      </c>
      <c r="W63">
        <f t="shared" si="30"/>
        <v>4300.6651246314832</v>
      </c>
      <c r="X63">
        <f t="shared" si="30"/>
        <v>4424.5508991779943</v>
      </c>
      <c r="Y63">
        <f t="shared" si="30"/>
        <v>4552.0053508221699</v>
      </c>
      <c r="Z63">
        <f t="shared" si="30"/>
        <v>4683.1312795527383</v>
      </c>
      <c r="AA63">
        <f t="shared" si="30"/>
        <v>4818.0344466343895</v>
      </c>
      <c r="AB63">
        <f t="shared" si="30"/>
        <v>4956.8236599108395</v>
      </c>
      <c r="AC63">
        <f t="shared" si="30"/>
        <v>5099.6108615651783</v>
      </c>
    </row>
    <row r="64" spans="3:29" x14ac:dyDescent="0.45">
      <c r="C64">
        <f t="shared" si="4"/>
        <v>11315</v>
      </c>
      <c r="D64">
        <f t="shared" ref="D64:AC64" si="31">$C64*POWER((1+$AG29),(D$1-$C$1))</f>
        <v>11665.36296507983</v>
      </c>
      <c r="E64">
        <f t="shared" si="31"/>
        <v>12026.574733279373</v>
      </c>
      <c r="F64">
        <f t="shared" si="31"/>
        <v>12398.971232024925</v>
      </c>
      <c r="G64">
        <f t="shared" si="31"/>
        <v>12782.898790557118</v>
      </c>
      <c r="H64">
        <f t="shared" si="31"/>
        <v>13178.714462017566</v>
      </c>
      <c r="I64">
        <f t="shared" si="31"/>
        <v>13586.786355508766</v>
      </c>
      <c r="J64">
        <f t="shared" si="31"/>
        <v>14007.493978436052</v>
      </c>
      <c r="K64">
        <f t="shared" si="31"/>
        <v>14441.228589449989</v>
      </c>
      <c r="L64">
        <f t="shared" si="31"/>
        <v>14888.393562317449</v>
      </c>
      <c r="M64">
        <f t="shared" si="31"/>
        <v>15349.404761059739</v>
      </c>
      <c r="N64">
        <f t="shared" si="31"/>
        <v>15824.690926706699</v>
      </c>
      <c r="O64">
        <f t="shared" si="31"/>
        <v>16314.694076026437</v>
      </c>
      <c r="P64">
        <f t="shared" si="31"/>
        <v>16819.869912601513</v>
      </c>
      <c r="Q64">
        <f t="shared" si="31"/>
        <v>17340.688250633866</v>
      </c>
      <c r="R64">
        <f t="shared" si="31"/>
        <v>17877.633451872673</v>
      </c>
      <c r="S64">
        <f t="shared" si="31"/>
        <v>18431.204876071384</v>
      </c>
      <c r="T64">
        <f t="shared" si="31"/>
        <v>19001.917345393013</v>
      </c>
      <c r="U64">
        <f t="shared" si="31"/>
        <v>19590.301623195377</v>
      </c>
      <c r="V64">
        <f t="shared" si="31"/>
        <v>20196.904907641772</v>
      </c>
      <c r="W64">
        <f t="shared" si="31"/>
        <v>20822.29134059597</v>
      </c>
      <c r="X64">
        <f t="shared" si="31"/>
        <v>21467.042532274914</v>
      </c>
      <c r="Y64">
        <f t="shared" si="31"/>
        <v>22131.758102147</v>
      </c>
      <c r="Z64">
        <f t="shared" si="31"/>
        <v>22817.056236578977</v>
      </c>
      <c r="AA64">
        <f t="shared" si="31"/>
        <v>23523.574263750077</v>
      </c>
      <c r="AB64">
        <f t="shared" si="31"/>
        <v>24251.969246368113</v>
      </c>
      <c r="AC64">
        <f t="shared" si="31"/>
        <v>25002.918592738632</v>
      </c>
    </row>
    <row r="65" spans="3:29" x14ac:dyDescent="0.45">
      <c r="C65">
        <f t="shared" si="4"/>
        <v>1878.9448460000001</v>
      </c>
      <c r="D65">
        <f t="shared" ref="D65:AC65" si="32">$C65*POWER((1+$AG30),(D$1-$C$1))</f>
        <v>1941.9287793829292</v>
      </c>
      <c r="E65">
        <f t="shared" si="32"/>
        <v>2007.0239912702966</v>
      </c>
      <c r="F65">
        <f t="shared" si="32"/>
        <v>2074.3012536301885</v>
      </c>
      <c r="G65">
        <f t="shared" si="32"/>
        <v>2143.8337107711741</v>
      </c>
      <c r="H65">
        <f t="shared" si="32"/>
        <v>2215.6969588653064</v>
      </c>
      <c r="I65">
        <f t="shared" si="32"/>
        <v>2289.9691281368096</v>
      </c>
      <c r="J65">
        <f t="shared" si="32"/>
        <v>2366.7309678058027</v>
      </c>
      <c r="K65">
        <f t="shared" si="32"/>
        <v>2446.0659338794139</v>
      </c>
      <c r="L65">
        <f t="shared" si="32"/>
        <v>2528.0602798857331</v>
      </c>
      <c r="M65">
        <f t="shared" si="32"/>
        <v>2612.8031506492484</v>
      </c>
      <c r="N65">
        <f t="shared" si="32"/>
        <v>2700.3866792097238</v>
      </c>
      <c r="O65">
        <f t="shared" si="32"/>
        <v>2790.906086989879</v>
      </c>
      <c r="P65">
        <f t="shared" si="32"/>
        <v>2884.4597873207836</v>
      </c>
      <c r="Q65">
        <f t="shared" si="32"/>
        <v>2981.1494924375193</v>
      </c>
      <c r="R65">
        <f t="shared" si="32"/>
        <v>3081.0803240614282</v>
      </c>
      <c r="S65">
        <f t="shared" si="32"/>
        <v>3184.3609276891834</v>
      </c>
      <c r="T65">
        <f t="shared" si="32"/>
        <v>3291.1035907129267</v>
      </c>
      <c r="U65">
        <f t="shared" si="32"/>
        <v>3401.4243644999087</v>
      </c>
      <c r="V65">
        <f t="shared" si="32"/>
        <v>3515.4431905643401</v>
      </c>
      <c r="W65">
        <f t="shared" si="32"/>
        <v>3633.2840309686449</v>
      </c>
      <c r="X65">
        <f t="shared" si="32"/>
        <v>3755.0750030958752</v>
      </c>
      <c r="Y65">
        <f t="shared" si="32"/>
        <v>3880.948518939827</v>
      </c>
      <c r="Z65">
        <f t="shared" si="32"/>
        <v>4011.0414290642807</v>
      </c>
      <c r="AA65">
        <f t="shared" si="32"/>
        <v>4145.4951713878881</v>
      </c>
      <c r="AB65">
        <f t="shared" si="32"/>
        <v>4284.4559249564618</v>
      </c>
      <c r="AC65">
        <f t="shared" si="32"/>
        <v>4428.0747688698584</v>
      </c>
    </row>
    <row r="66" spans="3:29" x14ac:dyDescent="0.45">
      <c r="C66">
        <f t="shared" si="4"/>
        <v>4156.3071620000001</v>
      </c>
      <c r="D66">
        <f t="shared" ref="D66:AC66" si="33">$C66*POWER((1+$AG31),(D$1-$C$1))</f>
        <v>4295.6303433774729</v>
      </c>
      <c r="E66">
        <f t="shared" si="33"/>
        <v>4439.6237640112267</v>
      </c>
      <c r="F66">
        <f t="shared" si="33"/>
        <v>4588.4439745520267</v>
      </c>
      <c r="G66">
        <f t="shared" si="33"/>
        <v>4742.2527733702691</v>
      </c>
      <c r="H66">
        <f t="shared" si="33"/>
        <v>4901.2173824643096</v>
      </c>
      <c r="I66">
        <f t="shared" si="33"/>
        <v>5065.5106292653736</v>
      </c>
      <c r="J66">
        <f t="shared" si="33"/>
        <v>5235.3111345367524</v>
      </c>
      <c r="K66">
        <f t="shared" si="33"/>
        <v>5410.8035065715412</v>
      </c>
      <c r="L66">
        <f t="shared" si="33"/>
        <v>5592.1785419000616</v>
      </c>
      <c r="M66">
        <f t="shared" si="33"/>
        <v>5779.6334327251752</v>
      </c>
      <c r="N66">
        <f t="shared" si="33"/>
        <v>5973.3719813110301</v>
      </c>
      <c r="O66">
        <f t="shared" si="33"/>
        <v>6173.6048215582941</v>
      </c>
      <c r="P66">
        <f t="shared" si="33"/>
        <v>6380.5496480068086</v>
      </c>
      <c r="Q66">
        <f t="shared" si="33"/>
        <v>6594.431452514601</v>
      </c>
      <c r="R66">
        <f t="shared" si="33"/>
        <v>6815.4827688706073</v>
      </c>
      <c r="S66">
        <f t="shared" si="33"/>
        <v>7043.9439256070291</v>
      </c>
      <c r="T66">
        <f t="shared" si="33"/>
        <v>7280.0633072861865</v>
      </c>
      <c r="U66">
        <f t="shared" si="33"/>
        <v>7524.0976245459451</v>
      </c>
      <c r="V66">
        <f t="shared" si="33"/>
        <v>7776.3121931973128</v>
      </c>
      <c r="W66">
        <f t="shared" si="33"/>
        <v>8036.9812226776412</v>
      </c>
      <c r="X66">
        <f t="shared" si="33"/>
        <v>8306.3881141730344</v>
      </c>
      <c r="Y66">
        <f t="shared" si="33"/>
        <v>8584.825768734092</v>
      </c>
      <c r="Z66">
        <f t="shared" si="33"/>
        <v>8872.5969057199818</v>
      </c>
      <c r="AA66">
        <f t="shared" si="33"/>
        <v>9170.0143919170278</v>
      </c>
      <c r="AB66">
        <f t="shared" si="33"/>
        <v>9477.4015816896717</v>
      </c>
      <c r="AC66">
        <f t="shared" si="33"/>
        <v>9795.092668533578</v>
      </c>
    </row>
    <row r="67" spans="3:29" x14ac:dyDescent="0.45">
      <c r="C67">
        <f t="shared" si="4"/>
        <v>1166.381725</v>
      </c>
      <c r="D67">
        <f t="shared" ref="D67:AC67" si="34">$C67*POWER((1+$AG32),(D$1-$C$1))</f>
        <v>1205.4798970588479</v>
      </c>
      <c r="E67">
        <f t="shared" si="34"/>
        <v>1245.8886752645328</v>
      </c>
      <c r="F67">
        <f t="shared" si="34"/>
        <v>1287.6519923223875</v>
      </c>
      <c r="G67">
        <f t="shared" si="34"/>
        <v>1330.8152536018279</v>
      </c>
      <c r="H67">
        <f t="shared" si="34"/>
        <v>1375.4253865013841</v>
      </c>
      <c r="I67">
        <f t="shared" si="34"/>
        <v>1421.5308914684981</v>
      </c>
      <c r="J67">
        <f t="shared" si="34"/>
        <v>1469.1818947295469</v>
      </c>
      <c r="K67">
        <f t="shared" si="34"/>
        <v>1518.4302027874257</v>
      </c>
      <c r="L67">
        <f t="shared" si="34"/>
        <v>1569.3293587459384</v>
      </c>
      <c r="M67">
        <f t="shared" si="34"/>
        <v>1621.9347005222342</v>
      </c>
      <c r="N67">
        <f t="shared" si="34"/>
        <v>1676.3034210105752</v>
      </c>
      <c r="O67">
        <f t="shared" si="34"/>
        <v>1732.4946302628523</v>
      </c>
      <c r="P67">
        <f t="shared" si="34"/>
        <v>1790.5694197534433</v>
      </c>
      <c r="Q67">
        <f t="shared" si="34"/>
        <v>1850.5909287982902</v>
      </c>
      <c r="R67">
        <f t="shared" si="34"/>
        <v>1912.6244132004044</v>
      </c>
      <c r="S67">
        <f t="shared" si="34"/>
        <v>1976.7373161964306</v>
      </c>
      <c r="T67">
        <f t="shared" si="34"/>
        <v>2042.9993417814021</v>
      </c>
      <c r="U67">
        <f t="shared" si="34"/>
        <v>2111.4825304914125</v>
      </c>
      <c r="V67">
        <f t="shared" si="34"/>
        <v>2182.2613377265866</v>
      </c>
      <c r="W67">
        <f t="shared" si="34"/>
        <v>2255.412714699512</v>
      </c>
      <c r="X67">
        <f t="shared" si="34"/>
        <v>2331.0161920971318</v>
      </c>
      <c r="Y67">
        <f t="shared" si="34"/>
        <v>2409.153966547065</v>
      </c>
      <c r="Z67">
        <f t="shared" si="34"/>
        <v>2489.9109899823502</v>
      </c>
      <c r="AA67">
        <f t="shared" si="34"/>
        <v>2573.37506200178</v>
      </c>
      <c r="AB67">
        <f t="shared" si="34"/>
        <v>2659.6369253262369</v>
      </c>
      <c r="AC67">
        <f t="shared" si="34"/>
        <v>2748.7903644548119</v>
      </c>
    </row>
    <row r="68" spans="3:29" x14ac:dyDescent="0.45">
      <c r="C68">
        <f t="shared" si="4"/>
        <v>8322</v>
      </c>
      <c r="D68">
        <f t="shared" ref="D68:AC68" si="35">$C68*POWER((1+$AG33),(D$1-$C$1))</f>
        <v>8322</v>
      </c>
      <c r="E68">
        <f t="shared" si="35"/>
        <v>8322</v>
      </c>
      <c r="F68">
        <f t="shared" si="35"/>
        <v>8322</v>
      </c>
      <c r="G68">
        <f t="shared" si="35"/>
        <v>8322</v>
      </c>
      <c r="H68">
        <f t="shared" si="35"/>
        <v>8322</v>
      </c>
      <c r="I68">
        <f t="shared" si="35"/>
        <v>8322</v>
      </c>
      <c r="J68">
        <f t="shared" si="35"/>
        <v>8322</v>
      </c>
      <c r="K68">
        <f t="shared" si="35"/>
        <v>8322</v>
      </c>
      <c r="L68">
        <f t="shared" si="35"/>
        <v>8322</v>
      </c>
      <c r="M68">
        <f t="shared" si="35"/>
        <v>8322</v>
      </c>
      <c r="N68">
        <f t="shared" si="35"/>
        <v>8322</v>
      </c>
      <c r="O68">
        <f t="shared" si="35"/>
        <v>8322</v>
      </c>
      <c r="P68">
        <f t="shared" si="35"/>
        <v>8322</v>
      </c>
      <c r="Q68">
        <f t="shared" si="35"/>
        <v>8322</v>
      </c>
      <c r="R68">
        <f t="shared" si="35"/>
        <v>8322</v>
      </c>
      <c r="S68">
        <f t="shared" si="35"/>
        <v>8322</v>
      </c>
      <c r="T68">
        <f t="shared" si="35"/>
        <v>8322</v>
      </c>
      <c r="U68">
        <f t="shared" si="35"/>
        <v>8322</v>
      </c>
      <c r="V68">
        <f t="shared" si="35"/>
        <v>8322</v>
      </c>
      <c r="W68">
        <f t="shared" si="35"/>
        <v>8322</v>
      </c>
      <c r="X68">
        <f t="shared" si="35"/>
        <v>8322</v>
      </c>
      <c r="Y68">
        <f t="shared" si="35"/>
        <v>8322</v>
      </c>
      <c r="Z68">
        <f t="shared" si="35"/>
        <v>8322</v>
      </c>
      <c r="AA68">
        <f t="shared" si="35"/>
        <v>8322</v>
      </c>
      <c r="AB68">
        <f t="shared" si="35"/>
        <v>8322</v>
      </c>
      <c r="AC68">
        <f t="shared" si="35"/>
        <v>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pDemandForecast_sapp_low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2026-02-10T20:43:47Z</dcterms:created>
  <dcterms:modified xsi:type="dcterms:W3CDTF">2026-02-10T21:04:06Z</dcterms:modified>
</cp:coreProperties>
</file>