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590499\Documents\Projects\EPM\epm\input\data_sapp_feb26\supply\"/>
    </mc:Choice>
  </mc:AlternateContent>
  <xr:revisionPtr revIDLastSave="0" documentId="13_ncr:9_{A12585E5-C9CC-4863-85AF-DCF9F041FA3B}" xr6:coauthVersionLast="47" xr6:coauthVersionMax="47" xr10:uidLastSave="{00000000-0000-0000-0000-000000000000}"/>
  <bookViews>
    <workbookView xWindow="38280" yWindow="-120" windowWidth="29040" windowHeight="15720" xr2:uid="{9260D18E-6176-4F0D-B64B-539A7C0F236D}"/>
  </bookViews>
  <sheets>
    <sheet name="pGenDataInput_SAPP_v3_reduced" sheetId="1" r:id="rId1"/>
  </sheets>
  <definedNames>
    <definedName name="_xlnm._FilterDatabase" localSheetId="0" hidden="1">pGenDataInput_SAPP_v3_reduced!$A$1:$Z$304</definedName>
  </definedNames>
  <calcPr calcId="0"/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<sst xmlns="http://schemas.openxmlformats.org/spreadsheetml/2006/main" count="1238" uniqueCount="370">
  <si>
    <t>g</t>
  </si>
  <si>
    <t>z</t>
  </si>
  <si>
    <t>tech</t>
  </si>
  <si>
    <t>fuel</t>
  </si>
  <si>
    <t>StYr</t>
  </si>
  <si>
    <t>RetrYr</t>
  </si>
  <si>
    <t>Capacity</t>
  </si>
  <si>
    <t>Status</t>
  </si>
  <si>
    <t>MinLimitShare</t>
  </si>
  <si>
    <t>HeatRate</t>
  </si>
  <si>
    <t>RampUpRate</t>
  </si>
  <si>
    <t>RampDnRate</t>
  </si>
  <si>
    <t>OverLoadFactor</t>
  </si>
  <si>
    <t>ResLimShare</t>
  </si>
  <si>
    <t>FOMperMW</t>
  </si>
  <si>
    <t>VOM</t>
  </si>
  <si>
    <t>ReserveCost</t>
  </si>
  <si>
    <t>Capex</t>
  </si>
  <si>
    <t>Life</t>
  </si>
  <si>
    <t>BuildLimitperYear</t>
  </si>
  <si>
    <t>DescreteCap</t>
  </si>
  <si>
    <t>fuel2</t>
  </si>
  <si>
    <t>HeatRate2</t>
  </si>
  <si>
    <t>MinUtilization</t>
  </si>
  <si>
    <t>RETech</t>
  </si>
  <si>
    <t>UnitSize</t>
  </si>
  <si>
    <t>South_Africa</t>
  </si>
  <si>
    <t>ICE</t>
  </si>
  <si>
    <t>HFO</t>
  </si>
  <si>
    <t>Bulawayo_TH_ZWE</t>
  </si>
  <si>
    <t>Zimbabwe</t>
  </si>
  <si>
    <t>ST</t>
  </si>
  <si>
    <t>Coal</t>
  </si>
  <si>
    <t>Malawi</t>
  </si>
  <si>
    <t>Diesel</t>
  </si>
  <si>
    <t>AH_Cambambe_C1_HY_AGO_NO</t>
  </si>
  <si>
    <t>Angola_North</t>
  </si>
  <si>
    <t>ReservoirHydro</t>
  </si>
  <si>
    <t>Water</t>
  </si>
  <si>
    <t>CT_Biocom_TH_AGO_NO</t>
  </si>
  <si>
    <t>Biomass</t>
  </si>
  <si>
    <t>CT_COMBI_Diesel_TH_AGO_NO</t>
  </si>
  <si>
    <t>CT_Soyo_TH_AGO_NO</t>
  </si>
  <si>
    <t>CCGT</t>
  </si>
  <si>
    <t>Gas</t>
  </si>
  <si>
    <t>AH_Gove_HY_AGO_CE</t>
  </si>
  <si>
    <t>Angola_Central</t>
  </si>
  <si>
    <t>Anixas_TH_NAM</t>
  </si>
  <si>
    <t>Namibia</t>
  </si>
  <si>
    <t>AnixasII_TH_NAM</t>
  </si>
  <si>
    <t>CSPPlant</t>
  </si>
  <si>
    <t>CSP</t>
  </si>
  <si>
    <t>Acacia_TH_ZAF</t>
  </si>
  <si>
    <t>OCGT</t>
  </si>
  <si>
    <t>Ankerlig(Atlantis)_TH_ZAF</t>
  </si>
  <si>
    <t>Arnot1_TH_ZAF</t>
  </si>
  <si>
    <t>CahoraBassa1_HY_MOZ</t>
  </si>
  <si>
    <t>Mozambique_Central</t>
  </si>
  <si>
    <t>Tanzania</t>
  </si>
  <si>
    <t>Bagasse_co-generation_BM_MWI</t>
  </si>
  <si>
    <t>Baynes(Angola)_HY_AGO_SO</t>
  </si>
  <si>
    <t>Baynes(Namibia)_HY_NAM</t>
  </si>
  <si>
    <t>Busanga_HY_DRCSouth</t>
  </si>
  <si>
    <t>DRC_South</t>
  </si>
  <si>
    <t>COMBI_Diesel_OFF_AGO_CE</t>
  </si>
  <si>
    <t>Bailundo_PV_AGO_CE</t>
  </si>
  <si>
    <t>PV</t>
  </si>
  <si>
    <t>Solar</t>
  </si>
  <si>
    <t>CaculoCabaca_HY_AGO_NO</t>
  </si>
  <si>
    <t>BatokaGorgeNorth_HY_ZMB</t>
  </si>
  <si>
    <t>Zambia</t>
  </si>
  <si>
    <t>ROR</t>
  </si>
  <si>
    <t>Existing_PV_ZIM</t>
  </si>
  <si>
    <t>ChishimbaFalls_HY_ZMB</t>
  </si>
  <si>
    <t>ChishimbaFallsExt_HY_ZMB</t>
  </si>
  <si>
    <t>CTMJICA1_TH_MOZ</t>
  </si>
  <si>
    <t>Mozambique_South</t>
  </si>
  <si>
    <t>Biomass_Candidate_TZA</t>
  </si>
  <si>
    <t>Existing_HY_MOZ</t>
  </si>
  <si>
    <t>Luapula_HY_ZMB</t>
  </si>
  <si>
    <t>Luapula_PV_ZMB</t>
  </si>
  <si>
    <t>AH_Matala_HY_AGO_SO</t>
  </si>
  <si>
    <t>Angola_South</t>
  </si>
  <si>
    <t>Francistown_TH_BWA</t>
  </si>
  <si>
    <t>Botswana</t>
  </si>
  <si>
    <t>GasPower_TH_MWI</t>
  </si>
  <si>
    <t>Chasombo_HY_MWI</t>
  </si>
  <si>
    <t>MorupuleA_TH_BWA</t>
  </si>
  <si>
    <t>Orapa1and2_TH_BWA</t>
  </si>
  <si>
    <t>SelibePhikwe_PV1-1_BWA</t>
  </si>
  <si>
    <t>Cuito_PV_AGO_SO</t>
  </si>
  <si>
    <t>Quilemba_PV_AGO_SO</t>
  </si>
  <si>
    <t>Cuango_PV_AGO_EA</t>
  </si>
  <si>
    <t>Angola_East</t>
  </si>
  <si>
    <t>Inga1_HY_DRC</t>
  </si>
  <si>
    <t>DRC</t>
  </si>
  <si>
    <t>OnshoreWind</t>
  </si>
  <si>
    <t>Wind</t>
  </si>
  <si>
    <t>CT_COMBI_Diesel_TH_AGO_SO</t>
  </si>
  <si>
    <t>Avon_TH_ZAF</t>
  </si>
  <si>
    <t>Diaz_Wind_NAM</t>
  </si>
  <si>
    <t>Edwaleni1_HY_SWZ</t>
  </si>
  <si>
    <t>Eswatini</t>
  </si>
  <si>
    <t>Jwaneng_PV1-1_BWA</t>
  </si>
  <si>
    <t>Corumana_HY_MOZ</t>
  </si>
  <si>
    <t>ExistingSolar_REN_MOZ</t>
  </si>
  <si>
    <t>Mozambique_North</t>
  </si>
  <si>
    <t>Existing_PV_NAM</t>
  </si>
  <si>
    <t>Existing_AusWind_NAM</t>
  </si>
  <si>
    <t>Camden_TH_ZAF</t>
  </si>
  <si>
    <t>Dedisa_TH_ZAF</t>
  </si>
  <si>
    <t>Duvha_TH_ZAF</t>
  </si>
  <si>
    <t>AH_HIDROCHICAPA_OFF_AGO_EA</t>
  </si>
  <si>
    <t>COMBI_Diesel_OFF_AGO_EA</t>
  </si>
  <si>
    <t>BokpoortCSP_REN_ZAF</t>
  </si>
  <si>
    <t>IlangaCSP_REN_ZAF</t>
  </si>
  <si>
    <t>KathuSolarCSP_REN_ZAF</t>
  </si>
  <si>
    <t>KaxuSolarCSP_REN_ZAF</t>
  </si>
  <si>
    <t>KhiSolarCSP_REN_ZAF</t>
  </si>
  <si>
    <t>RedStoneSolarCSP_REN_ZAF</t>
  </si>
  <si>
    <t>XinaSolarCSP_REN_ZAF</t>
  </si>
  <si>
    <t>Collywobbles_HY_ZAF</t>
  </si>
  <si>
    <t>Devil'sGorgeNorth_HY_ZMB</t>
  </si>
  <si>
    <t>Hwange3Extension_TH_ZWE</t>
  </si>
  <si>
    <t>Bethlem_HY_ZAF</t>
  </si>
  <si>
    <t>Kruisvallei_HY_ZAF</t>
  </si>
  <si>
    <t>Stortemelk_HY_ZAF</t>
  </si>
  <si>
    <t>Neusberg_HY_ZAF</t>
  </si>
  <si>
    <t>HwangeI_TH_ZWE</t>
  </si>
  <si>
    <t>Kuvaninga_TH_MOZ</t>
  </si>
  <si>
    <t>ExistingSolarPV(PV)_REN_ZAF</t>
  </si>
  <si>
    <t>Ethanol_project_BM_MWI</t>
  </si>
  <si>
    <t>EdwaleniThermal_TH_SWZ</t>
  </si>
  <si>
    <t>Lesotho</t>
  </si>
  <si>
    <t>Golomoti_PV_MWI</t>
  </si>
  <si>
    <t>ExistingWind_REN_ZAF</t>
  </si>
  <si>
    <t>Gariep_HY_ZAF</t>
  </si>
  <si>
    <t>LavumisaSolar_PV_SWZ</t>
  </si>
  <si>
    <t>HwangeII_TH_ZWE</t>
  </si>
  <si>
    <t>KaribaSouth1_HY_ZWE</t>
  </si>
  <si>
    <t>Gourikwa_TH_ZAF</t>
  </si>
  <si>
    <t>ZhongXinIPP_TH_ZWE</t>
  </si>
  <si>
    <t>Afrochine_PV_ZWE</t>
  </si>
  <si>
    <t>ChidobeMizpah_PV_ZWE</t>
  </si>
  <si>
    <t>Mapanzure_PV_ZWE</t>
  </si>
  <si>
    <t>Zimplats_PV_ZWE</t>
  </si>
  <si>
    <t>IndolaHFO_TH_ZMB</t>
  </si>
  <si>
    <t>Kilubi_HY_DRCSouth</t>
  </si>
  <si>
    <t>ItheziThezi_HY_ZMB</t>
  </si>
  <si>
    <t>KanengoI_TH_MWI</t>
  </si>
  <si>
    <t>BatokaGorgeSouth_HY_ZWE</t>
  </si>
  <si>
    <t>JohannesburgLandfillGas_TH_ZAF</t>
  </si>
  <si>
    <t>Khan_PV_NAM</t>
  </si>
  <si>
    <t>KelvinB_TH_ZAF</t>
  </si>
  <si>
    <t>Koni_HY_DRCSouth</t>
  </si>
  <si>
    <t>Tazama_Gas_ZMB</t>
  </si>
  <si>
    <t>Kendal_TH_ZAF</t>
  </si>
  <si>
    <t>Koeberg_NU_ZAF</t>
  </si>
  <si>
    <t>Nuclear</t>
  </si>
  <si>
    <t>Uranium</t>
  </si>
  <si>
    <t>Muanda_TH_DRC</t>
  </si>
  <si>
    <t>Kriel_TH_ZAF</t>
  </si>
  <si>
    <t>Kusile_I_TH_ZAF</t>
  </si>
  <si>
    <t>Kusile_II_TH_ZAF</t>
  </si>
  <si>
    <t>LesothoSolar_REN_LSO</t>
  </si>
  <si>
    <t>Lethabo_TH_ZAF</t>
  </si>
  <si>
    <t>Likoma_TH_MWI</t>
  </si>
  <si>
    <t>Lilongwe_TH_MWI</t>
  </si>
  <si>
    <t>Ezulwini_HY_SWZ</t>
  </si>
  <si>
    <t>SSEG_Rooftop_PV_SWZ</t>
  </si>
  <si>
    <t>LuisCabral_TH_MOZ</t>
  </si>
  <si>
    <t>Kakono_HY_TZA</t>
  </si>
  <si>
    <t>MaambaCoalI_TH_ZMB</t>
  </si>
  <si>
    <t>KalungwishiI_HY_ZMB</t>
  </si>
  <si>
    <t>Maguga_HY_SWZ</t>
  </si>
  <si>
    <t>USL_biomass_SWZ</t>
  </si>
  <si>
    <t>Bagasse</t>
  </si>
  <si>
    <t>LowerMaguduza_HY_SWZ</t>
  </si>
  <si>
    <t>MajubaI_TH_ZAF</t>
  </si>
  <si>
    <t>Mapanga_ICE_MWI</t>
  </si>
  <si>
    <t>Matimba_TH_ZAF</t>
  </si>
  <si>
    <t>Matla_TH_ZAF</t>
  </si>
  <si>
    <t>Medupi_TH_ZAF</t>
  </si>
  <si>
    <t>MkuzeBiomass_BIO_ZAF</t>
  </si>
  <si>
    <t>Mpatamanga_Opt_HY_MWI</t>
  </si>
  <si>
    <t>Nseke_HY_DRCSouth</t>
  </si>
  <si>
    <t>Muela_HY_LSO</t>
  </si>
  <si>
    <t>Chisumbanje_BIO_ZWE</t>
  </si>
  <si>
    <t>Kikonge_HY_TZA</t>
  </si>
  <si>
    <t>Nzilo_HY_DRCSouth</t>
  </si>
  <si>
    <t>Kinyezeri_III_PH_II_TH_TZA</t>
  </si>
  <si>
    <t>Kiwaba_Nzogi_WIND_AGO_NO</t>
  </si>
  <si>
    <t>Kudu_Gas_TH_NAM</t>
  </si>
  <si>
    <t>LesothoLetsengWind_REN_LSO</t>
  </si>
  <si>
    <t>MetoroSolarPV_REN_MOZ</t>
  </si>
  <si>
    <t>LobitoI_TH_AGO_CE</t>
  </si>
  <si>
    <t>UsuthuSwamil_BIO_SWZ</t>
  </si>
  <si>
    <t>Woodchip</t>
  </si>
  <si>
    <t>Balekane_Solar_SWZ</t>
  </si>
  <si>
    <t>Ngwenya_Solar_SWZ</t>
  </si>
  <si>
    <t>MocubaSolarPV_REN_MOZ</t>
  </si>
  <si>
    <t>NacalaJICA_TH_MOZ</t>
  </si>
  <si>
    <t>RessanoGarciaEDM/Sasol_TH_MOZ</t>
  </si>
  <si>
    <t>RessanoGarciaGigawatt_TH_MOZ</t>
  </si>
  <si>
    <t>Temane_TH_MOZ</t>
  </si>
  <si>
    <t>Mnyera_Ruaha_HY_TZA</t>
  </si>
  <si>
    <t>RSSC_biomass_SWZ</t>
  </si>
  <si>
    <t>Lubhuku_TH_SWZ</t>
  </si>
  <si>
    <t>Ennerdale_BIO_ZAF</t>
  </si>
  <si>
    <t>Biogas</t>
  </si>
  <si>
    <t>Nkula_(A.B)_+_upgrade_HY_MWI</t>
  </si>
  <si>
    <t>Ruzizi1_HY_DRC</t>
  </si>
  <si>
    <t>New_HY_LHWP_LSO</t>
  </si>
  <si>
    <t>Committed_PV1-2_BWA</t>
  </si>
  <si>
    <t>Otikojoto_Biomass_NAM</t>
  </si>
  <si>
    <t>Temane2_TH_MOZ</t>
  </si>
  <si>
    <t>Paratus_TH_NAM</t>
  </si>
  <si>
    <t>PortRexGas_TH_ZAF</t>
  </si>
  <si>
    <t>MupataGorgeNorth_HY_ZMB</t>
  </si>
  <si>
    <t>Gairezi_HY_ZWE</t>
  </si>
  <si>
    <t>RoshPinah_PV_NAM</t>
  </si>
  <si>
    <t>New_PV_NAM</t>
  </si>
  <si>
    <t>OmburruII_PV_NAM</t>
  </si>
  <si>
    <t>RoshPinah_Wind_NAM</t>
  </si>
  <si>
    <t>RuacanaROR_HY_NAM</t>
  </si>
  <si>
    <t>CommittedSolar_REN_DRC</t>
  </si>
  <si>
    <t>LubumbashiSolar_REN_DRCSouth</t>
  </si>
  <si>
    <t>Ruzizi3_HY_DRC</t>
  </si>
  <si>
    <t>Lurio_HY_MOZ</t>
  </si>
  <si>
    <t>Sasolburg_TH_ZAF</t>
  </si>
  <si>
    <t>Secunda(SasolChemical)_TH_ZAF</t>
  </si>
  <si>
    <t>Secunda(SasolSynthetic)_TH_ZAF</t>
  </si>
  <si>
    <t>Tutuka_TH_ZAF</t>
  </si>
  <si>
    <t>Vanderkloof_HY_ZAF</t>
  </si>
  <si>
    <t>Kusile_III_TH_ZAF</t>
  </si>
  <si>
    <t>SA_SolarPrivate25_REN_ZAF</t>
  </si>
  <si>
    <t>SA_SolarPrivate26_REN_ZAF</t>
  </si>
  <si>
    <t>MozMGTPEDMSasolGT_TH_MOZ</t>
  </si>
  <si>
    <t>SA_SolarPrivate27_REN_ZAF</t>
  </si>
  <si>
    <t>SA_SolarPrivate29_REN_ZAF</t>
  </si>
  <si>
    <t>SA_SolarPublicProcurement25_REN_ZAF</t>
  </si>
  <si>
    <t>SA_SolarPublicProcurement26_REN_ZAF</t>
  </si>
  <si>
    <t>SA_SolarPublicProcurement28_REN_ZAF</t>
  </si>
  <si>
    <t>SA_SolarPublicProcurement29_REN_ZAF</t>
  </si>
  <si>
    <t>SA_SolarPublicProcurement30_REN_ZAF</t>
  </si>
  <si>
    <t>SA_SolarPublicProcurement27_REN_ZAF</t>
  </si>
  <si>
    <t>SA_WindEskom28_REN_ZAF</t>
  </si>
  <si>
    <t>Namibe_TH_AGO_SO</t>
  </si>
  <si>
    <t>SA_WindPrivate25_REN_ZAF</t>
  </si>
  <si>
    <t>Salima_PV_MWI</t>
  </si>
  <si>
    <t>SA_WindPrivate26_REN_ZAF</t>
  </si>
  <si>
    <t>SA_WindPrivate27_REN_ZAF</t>
  </si>
  <si>
    <t>SA_WindPrivate28_REN_ZAF</t>
  </si>
  <si>
    <t>SolarRound(PV)_ZMB</t>
  </si>
  <si>
    <t>LowerMaguga_Ext2HY_SWZ</t>
  </si>
  <si>
    <t>Tedzani_I._II._III_HY_MWI</t>
  </si>
  <si>
    <t>NamPowerWindFarm_2031_NAM</t>
  </si>
  <si>
    <t>SA_WindPrivate29_REN_ZAF</t>
  </si>
  <si>
    <t>SA_WindPrivate30_REN_ZAF</t>
  </si>
  <si>
    <t>VanEck_TH_NAM</t>
  </si>
  <si>
    <t>Nyika_HY_MWI</t>
  </si>
  <si>
    <t>Near_Salima_Nanjoka_LNG_MWI</t>
  </si>
  <si>
    <t>Mmamabula_TH_BWA</t>
  </si>
  <si>
    <t>Wovwe_additional_HY_MWI</t>
  </si>
  <si>
    <t>ZambiaOCGTDiesel_TH_ZMB</t>
  </si>
  <si>
    <t>Devil'sGorgeSouth_HY_ZWE</t>
  </si>
  <si>
    <t>SA_WindPublicProcurement25_REN_ZAF</t>
  </si>
  <si>
    <t>SACCGTNG2029_TH_ZAF</t>
  </si>
  <si>
    <t>SACCGTNG2030_TH_ZAF</t>
  </si>
  <si>
    <t>Hale_HY_TZA</t>
  </si>
  <si>
    <t>Kinyerezi_II_TH_TZA</t>
  </si>
  <si>
    <t>Duynefontein_NU_ZAF</t>
  </si>
  <si>
    <t>Songas_TH_TZA</t>
  </si>
  <si>
    <t>Kinyerezi_I_Ext_TH_TZA</t>
  </si>
  <si>
    <t>Kinyerezi_I_TH_TZA</t>
  </si>
  <si>
    <t>Ubungo_II_TH_TZA</t>
  </si>
  <si>
    <t>Ubungo_III_TH_TZA</t>
  </si>
  <si>
    <t>Ubongo_I_TH_TZA</t>
  </si>
  <si>
    <t>New_OCGT_TH_DRC</t>
  </si>
  <si>
    <t>FuelOil_TH_TZA</t>
  </si>
  <si>
    <t>JNHPP_1_HY_TZA</t>
  </si>
  <si>
    <t>Diesel_TH_TZA</t>
  </si>
  <si>
    <t>Tegeta_TH_TZA</t>
  </si>
  <si>
    <t>Mtwara_TH_TZA</t>
  </si>
  <si>
    <t>New_OffshoreWind_AGO_SO</t>
  </si>
  <si>
    <t>OffshoreWind</t>
  </si>
  <si>
    <t>TPC_Bio_TH_TZA</t>
  </si>
  <si>
    <t>Kidatu_HY_TZA</t>
  </si>
  <si>
    <t>Somanga_TH_TZA</t>
  </si>
  <si>
    <t>Small_PV_TZA</t>
  </si>
  <si>
    <t>Small_Wind_TZA</t>
  </si>
  <si>
    <t>Tanwat_Bio_TH_TZA</t>
  </si>
  <si>
    <t>MphandaNkuwa_HY_MOZ</t>
  </si>
  <si>
    <t>New_OffshoreWind_NAM</t>
  </si>
  <si>
    <t>New_OnshoreWind_AGO_SO</t>
  </si>
  <si>
    <t>Kihansi_HY_TZA</t>
  </si>
  <si>
    <t>New_OnshoreWind_BWA</t>
  </si>
  <si>
    <t>Malagarasi_HY_TZA</t>
  </si>
  <si>
    <t>New_OnshoreWind_DRC</t>
  </si>
  <si>
    <t>New_PV_2035_DRCSouth</t>
  </si>
  <si>
    <t>New_OnshoreWind_DRCSouth</t>
  </si>
  <si>
    <t>New_OnshoreWind_LSO</t>
  </si>
  <si>
    <t>New_OnshoreWind_SWZ</t>
  </si>
  <si>
    <t>New_OnshoreWind_TZA</t>
  </si>
  <si>
    <t>New_PV_ZWE</t>
  </si>
  <si>
    <t>New_OnshoreWind_ZWE</t>
  </si>
  <si>
    <t>AltoMalema_HY_MOZ</t>
  </si>
  <si>
    <t>Beluluane_TH_MOZ</t>
  </si>
  <si>
    <t>Kishapu_I_PV_TZA</t>
  </si>
  <si>
    <t>Kishapu_II_PV_TZA</t>
  </si>
  <si>
    <t>Kishapu_III_PV_TZA</t>
  </si>
  <si>
    <t>Boroma_HY_MOZ</t>
  </si>
  <si>
    <t>New_OnshoreWind_AGO_EA</t>
  </si>
  <si>
    <t>New_PV_2029_AGO_CE</t>
  </si>
  <si>
    <t>CTMJICA2_TH_MOZ</t>
  </si>
  <si>
    <t>CuambaII_PV_MOZ</t>
  </si>
  <si>
    <t>New_PV_DRC</t>
  </si>
  <si>
    <t>New_PV_DRCSouth</t>
  </si>
  <si>
    <t>New_PV_LSO</t>
  </si>
  <si>
    <t>New_PV_2040_TZA</t>
  </si>
  <si>
    <t>LeopardsHill_Hybrid_PV_ZMB</t>
  </si>
  <si>
    <t>7Yards_PV_ZMB</t>
  </si>
  <si>
    <t>Lufubu_HY_ZMB</t>
  </si>
  <si>
    <t>New_PV_ZMB</t>
  </si>
  <si>
    <t>Muzarabani_TH_ZWE</t>
  </si>
  <si>
    <t>New_PV_2040_LSO</t>
  </si>
  <si>
    <t>Nzoro_HY_DRC</t>
  </si>
  <si>
    <t>PV_2027_MWI</t>
  </si>
  <si>
    <t>Mtera_HY_TZA</t>
  </si>
  <si>
    <t>PV_Tender3_BESS_SWZ</t>
  </si>
  <si>
    <t>New_Pangani_Falls_HY_TZA</t>
  </si>
  <si>
    <t>Nyumba_Ya_Mungu_HY_TZA</t>
  </si>
  <si>
    <t>Quilengues_HY_AGO_CE</t>
  </si>
  <si>
    <t>SingidaWind2_REN_TZA</t>
  </si>
  <si>
    <t>Rumakali_TH_TZA</t>
  </si>
  <si>
    <t>SmallPV_2025_PV_TZA</t>
  </si>
  <si>
    <t>SmallPV_2026_PV_TZA</t>
  </si>
  <si>
    <t>Rusumo_HY_TZA</t>
  </si>
  <si>
    <t>SmallHydro_2025_HY_TZA</t>
  </si>
  <si>
    <t>SmallHydro_2026_HY_TZA</t>
  </si>
  <si>
    <t>SmallHydro_2027_HY_TZA</t>
  </si>
  <si>
    <t>SmallHydro_HY_TZA</t>
  </si>
  <si>
    <t>Dondo_PV_MOZ</t>
  </si>
  <si>
    <t>SA_NewGas_ESKOM_ZAF</t>
  </si>
  <si>
    <t>Jangamo_OnshoreWind_MOZ</t>
  </si>
  <si>
    <t>Lichinga_PV_MOZ</t>
  </si>
  <si>
    <t>Lupata_HY_MOZ</t>
  </si>
  <si>
    <t>Manje_PV_MOZ</t>
  </si>
  <si>
    <t>Mapai_HY_MOZ</t>
  </si>
  <si>
    <t>Massingir_HY_MOZ</t>
  </si>
  <si>
    <t>MavuziII_HY_MOZ</t>
  </si>
  <si>
    <t>Mugeba_HY_MOZ</t>
  </si>
  <si>
    <t>Nacala_TH_MOZ</t>
  </si>
  <si>
    <t>Namaacha_OnshoreWind_MOZ</t>
  </si>
  <si>
    <t>New_OffshoreWind_MOZ</t>
  </si>
  <si>
    <t>New_OnshoreWind2030_MOZ</t>
  </si>
  <si>
    <t>New_PV_2026_MOZ</t>
  </si>
  <si>
    <t>New_PV_2030_MOZ_CE</t>
  </si>
  <si>
    <t>New_PV_2030_MOZ_NO</t>
  </si>
  <si>
    <t>Ruo_HY_MOZ</t>
  </si>
  <si>
    <t>SA_SolarGeneric_2031_REN_ZAF</t>
  </si>
  <si>
    <t>SA_WindNew_REN_ZAF</t>
  </si>
  <si>
    <t>SACCGTNG2032_TH_ZAF</t>
  </si>
  <si>
    <t>Singida_II_WIND_TZA</t>
  </si>
  <si>
    <t>Somanga_Mtama_TH_TZA</t>
  </si>
  <si>
    <t>Tsate_HY_MOZ</t>
  </si>
  <si>
    <t>Upper_Kihansi_HY_TZA</t>
  </si>
  <si>
    <t>Vuka_HY_AGO_EA</t>
  </si>
  <si>
    <t>Wind_2030_MWI</t>
  </si>
  <si>
    <t>Zenzo_HY_AGO_NO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</si>
</sst>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D41B-BF1A-4D83-A13B-258228092DBE}">
  <dimension ref="A1:Z304"/>
  <sheetViews>
    <sheetView tabSelected="1" workbookViewId="0">
      <selection activeCell="K28" sqref="K28"/>
    </sheetView>
  </sheetViews>
  <sheetFormatPr defaultRowHeight="14.25" x14ac:dyDescent="0.45"/>
  <cols>
    <col min="1" max="1" width="34.19921875" bestFit="1" customWidth="1"/>
    <col min="2" max="2" width="18.46484375" bestFit="1" customWidth="1"/>
    <col min="3" max="3" width="13.3984375" bestFit="1" customWidth="1"/>
    <col min="4" max="4" width="9.265625" bestFit="1" customWidth="1"/>
    <col min="8" max="8" width="5.929687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29</v>
      </c>
      <c r="B2" t="s">
        <v>30</v>
      </c>
      <c r="C2" t="s">
        <v>31</v>
      </c>
      <c r="D2" t="s">
        <v>32</v>
      </c>
      <c r="E2">
        <v>1999</v>
      </c>
      <c r="F2">
        <v>2055</v>
      </c>
      <c r="G2">
        <v>90</v>
      </c>
      <c r="H2">
        <v>1</v>
      </c>
      <c r="J2">
        <v>13.3</v>
      </c>
      <c r="K2">
        <v>0.33</v>
      </c>
      <c r="L2">
        <v>0.33</v>
      </c>
      <c r="R2">
        <v>0</v>
      </c>
      <c r="U2">
        <v>0</v>
      </c>
      <c r="W2">
        <v>0</v>
      </c>
      <c r="X2">
        <v>0.1</v>
      </c>
      <c r="Y2">
        <v>0</v>
      </c>
      <c r="Z2">
        <v>90</v>
      </c>
    </row>
    <row r="3" spans="1:26" x14ac:dyDescent="0.45">
      <c r="A3" t="s">
        <v>35</v>
      </c>
      <c r="B3" t="s">
        <v>36</v>
      </c>
      <c r="C3" t="s">
        <v>37</v>
      </c>
      <c r="D3" t="s">
        <v>38</v>
      </c>
      <c r="E3">
        <v>1962</v>
      </c>
      <c r="F3">
        <v>2060</v>
      </c>
      <c r="G3">
        <f>1480+2070</f>
        <v>3550</v>
      </c>
      <c r="H3">
        <v>1</v>
      </c>
      <c r="N3">
        <v>0.121826136</v>
      </c>
      <c r="Q3">
        <v>0</v>
      </c>
      <c r="R3">
        <v>0</v>
      </c>
      <c r="S3">
        <v>50</v>
      </c>
      <c r="U3">
        <v>0</v>
      </c>
      <c r="W3">
        <v>0</v>
      </c>
      <c r="X3">
        <v>0</v>
      </c>
      <c r="Y3">
        <v>0</v>
      </c>
      <c r="Z3">
        <v>0</v>
      </c>
    </row>
    <row r="4" spans="1:26" x14ac:dyDescent="0.45">
      <c r="A4" t="s">
        <v>39</v>
      </c>
      <c r="B4" t="s">
        <v>36</v>
      </c>
      <c r="C4" t="s">
        <v>31</v>
      </c>
      <c r="D4" t="s">
        <v>40</v>
      </c>
      <c r="E4">
        <v>2009</v>
      </c>
      <c r="F4">
        <v>2051</v>
      </c>
      <c r="G4">
        <v>20</v>
      </c>
      <c r="H4">
        <v>1</v>
      </c>
      <c r="J4">
        <v>10.8998955</v>
      </c>
      <c r="K4">
        <v>0.9</v>
      </c>
      <c r="L4">
        <v>0.9</v>
      </c>
      <c r="N4">
        <v>0.8</v>
      </c>
      <c r="R4">
        <v>0</v>
      </c>
      <c r="U4">
        <v>0</v>
      </c>
      <c r="W4">
        <v>0</v>
      </c>
      <c r="X4">
        <v>0</v>
      </c>
      <c r="Y4">
        <v>0</v>
      </c>
      <c r="Z4">
        <v>20</v>
      </c>
    </row>
    <row r="5" spans="1:26" x14ac:dyDescent="0.45">
      <c r="A5" t="s">
        <v>41</v>
      </c>
      <c r="B5" t="s">
        <v>36</v>
      </c>
      <c r="C5" t="s">
        <v>27</v>
      </c>
      <c r="D5" t="s">
        <v>34</v>
      </c>
      <c r="E5">
        <v>1979</v>
      </c>
      <c r="F5">
        <v>2050</v>
      </c>
      <c r="G5">
        <v>334</v>
      </c>
      <c r="H5">
        <v>1</v>
      </c>
      <c r="J5">
        <v>13.62</v>
      </c>
      <c r="K5">
        <v>1</v>
      </c>
      <c r="L5">
        <v>1</v>
      </c>
      <c r="M5">
        <v>0</v>
      </c>
      <c r="N5">
        <v>0.4</v>
      </c>
      <c r="Q5">
        <v>0</v>
      </c>
      <c r="R5">
        <v>0</v>
      </c>
      <c r="S5">
        <v>30</v>
      </c>
      <c r="T5">
        <v>0</v>
      </c>
      <c r="U5">
        <v>0</v>
      </c>
      <c r="W5">
        <v>0</v>
      </c>
      <c r="X5">
        <v>0</v>
      </c>
      <c r="Y5">
        <v>0</v>
      </c>
      <c r="Z5">
        <v>0</v>
      </c>
    </row>
    <row r="6" spans="1:26" x14ac:dyDescent="0.45">
      <c r="A6" t="s">
        <v>42</v>
      </c>
      <c r="B6" t="s">
        <v>36</v>
      </c>
      <c r="C6" t="s">
        <v>43</v>
      </c>
      <c r="D6" t="s">
        <v>44</v>
      </c>
      <c r="E6">
        <v>2017</v>
      </c>
      <c r="F6">
        <v>2073</v>
      </c>
      <c r="G6">
        <v>750</v>
      </c>
      <c r="H6">
        <v>1</v>
      </c>
      <c r="I6">
        <v>0.2</v>
      </c>
      <c r="J6">
        <v>9</v>
      </c>
      <c r="K6">
        <v>0.1</v>
      </c>
      <c r="L6">
        <v>0.1</v>
      </c>
      <c r="N6">
        <v>0.2</v>
      </c>
      <c r="Q6">
        <v>0</v>
      </c>
      <c r="T6">
        <v>0</v>
      </c>
      <c r="U6">
        <v>0</v>
      </c>
      <c r="V6">
        <v>12</v>
      </c>
      <c r="W6">
        <v>9.6999999999999993</v>
      </c>
      <c r="X6">
        <v>0.05</v>
      </c>
      <c r="Y6">
        <v>0</v>
      </c>
      <c r="Z6">
        <v>0</v>
      </c>
    </row>
    <row r="7" spans="1:26" x14ac:dyDescent="0.45">
      <c r="A7" t="s">
        <v>45</v>
      </c>
      <c r="B7" t="s">
        <v>46</v>
      </c>
      <c r="C7" t="s">
        <v>37</v>
      </c>
      <c r="D7" t="s">
        <v>38</v>
      </c>
      <c r="E7">
        <v>2012</v>
      </c>
      <c r="F7">
        <v>2092</v>
      </c>
      <c r="G7">
        <v>92</v>
      </c>
      <c r="H7">
        <v>1</v>
      </c>
      <c r="N7">
        <v>0.22500000000000001</v>
      </c>
      <c r="Q7">
        <v>0</v>
      </c>
      <c r="R7">
        <v>0</v>
      </c>
      <c r="S7">
        <v>50</v>
      </c>
      <c r="T7">
        <v>0</v>
      </c>
      <c r="U7">
        <v>0</v>
      </c>
      <c r="W7">
        <v>0</v>
      </c>
      <c r="X7">
        <v>0</v>
      </c>
      <c r="Y7">
        <v>0</v>
      </c>
      <c r="Z7">
        <v>0</v>
      </c>
    </row>
    <row r="8" spans="1:26" x14ac:dyDescent="0.45">
      <c r="A8" t="s">
        <v>47</v>
      </c>
      <c r="B8" t="s">
        <v>48</v>
      </c>
      <c r="C8" t="s">
        <v>27</v>
      </c>
      <c r="D8" t="s">
        <v>28</v>
      </c>
      <c r="E8">
        <v>2011</v>
      </c>
      <c r="F8">
        <v>2051</v>
      </c>
      <c r="G8">
        <v>22</v>
      </c>
      <c r="H8">
        <v>1</v>
      </c>
      <c r="J8">
        <v>6.87</v>
      </c>
      <c r="R8">
        <v>0</v>
      </c>
      <c r="U8">
        <v>0</v>
      </c>
      <c r="W8">
        <v>0</v>
      </c>
      <c r="X8">
        <v>0</v>
      </c>
      <c r="Y8">
        <v>0</v>
      </c>
      <c r="Z8">
        <v>0</v>
      </c>
    </row>
    <row r="9" spans="1:26" x14ac:dyDescent="0.45">
      <c r="A9" t="s">
        <v>49</v>
      </c>
      <c r="B9" t="s">
        <v>48</v>
      </c>
      <c r="C9" t="s">
        <v>27</v>
      </c>
      <c r="D9" t="s">
        <v>28</v>
      </c>
      <c r="E9">
        <v>2024</v>
      </c>
      <c r="F9">
        <v>2064</v>
      </c>
      <c r="G9">
        <v>50</v>
      </c>
      <c r="H9">
        <v>1</v>
      </c>
      <c r="J9">
        <v>10.42</v>
      </c>
      <c r="T9">
        <v>50</v>
      </c>
      <c r="U9">
        <v>0</v>
      </c>
      <c r="W9">
        <v>0</v>
      </c>
      <c r="X9">
        <v>0.06</v>
      </c>
      <c r="Y9">
        <v>0</v>
      </c>
      <c r="Z9">
        <v>0</v>
      </c>
    </row>
    <row r="10" spans="1:26" x14ac:dyDescent="0.45">
      <c r="A10" t="s">
        <v>52</v>
      </c>
      <c r="B10" t="s">
        <v>26</v>
      </c>
      <c r="C10" t="s">
        <v>53</v>
      </c>
      <c r="D10" t="s">
        <v>28</v>
      </c>
      <c r="E10">
        <v>1976</v>
      </c>
      <c r="F10">
        <v>2026</v>
      </c>
      <c r="G10">
        <v>171</v>
      </c>
      <c r="H10">
        <v>1</v>
      </c>
      <c r="J10">
        <v>11.261013780000001</v>
      </c>
      <c r="K10">
        <v>0.3</v>
      </c>
      <c r="L10">
        <v>0.3</v>
      </c>
      <c r="R10">
        <v>0</v>
      </c>
      <c r="U10">
        <v>0</v>
      </c>
      <c r="W10">
        <v>0</v>
      </c>
      <c r="X10">
        <v>0</v>
      </c>
      <c r="Y10">
        <v>0</v>
      </c>
      <c r="Z10">
        <v>0</v>
      </c>
    </row>
    <row r="11" spans="1:26" x14ac:dyDescent="0.45">
      <c r="A11" t="s">
        <v>54</v>
      </c>
      <c r="B11" t="s">
        <v>26</v>
      </c>
      <c r="C11" t="s">
        <v>53</v>
      </c>
      <c r="D11" t="s">
        <v>28</v>
      </c>
      <c r="E11">
        <v>2007</v>
      </c>
      <c r="F11">
        <v>2057</v>
      </c>
      <c r="G11">
        <v>1327</v>
      </c>
      <c r="H11">
        <v>1</v>
      </c>
      <c r="J11">
        <v>9.3928664699999995</v>
      </c>
      <c r="K11">
        <v>0.3</v>
      </c>
      <c r="L11">
        <v>0.3</v>
      </c>
      <c r="R11">
        <v>0</v>
      </c>
      <c r="U11">
        <v>0</v>
      </c>
      <c r="W11">
        <v>0</v>
      </c>
      <c r="X11">
        <v>0</v>
      </c>
      <c r="Y11">
        <v>0</v>
      </c>
      <c r="Z11">
        <v>0</v>
      </c>
    </row>
    <row r="12" spans="1:26" x14ac:dyDescent="0.45">
      <c r="A12" t="s">
        <v>55</v>
      </c>
      <c r="B12" t="s">
        <v>26</v>
      </c>
      <c r="C12" t="s">
        <v>31</v>
      </c>
      <c r="D12" t="s">
        <v>32</v>
      </c>
      <c r="E12">
        <v>1975</v>
      </c>
      <c r="F12">
        <v>2033</v>
      </c>
      <c r="G12">
        <v>2352</v>
      </c>
      <c r="H12">
        <v>1</v>
      </c>
      <c r="I12">
        <v>0.3</v>
      </c>
      <c r="J12">
        <v>13.3</v>
      </c>
      <c r="K12">
        <v>0.33</v>
      </c>
      <c r="L12">
        <v>0.33</v>
      </c>
      <c r="R12">
        <v>0</v>
      </c>
      <c r="U12">
        <v>0</v>
      </c>
      <c r="W12">
        <v>0</v>
      </c>
      <c r="X12">
        <v>0.05</v>
      </c>
      <c r="Y12">
        <v>0</v>
      </c>
      <c r="Z12">
        <v>372</v>
      </c>
    </row>
    <row r="13" spans="1:26" x14ac:dyDescent="0.45">
      <c r="A13" t="s">
        <v>56</v>
      </c>
      <c r="B13" t="s">
        <v>57</v>
      </c>
      <c r="C13" t="s">
        <v>37</v>
      </c>
      <c r="D13" t="s">
        <v>38</v>
      </c>
      <c r="E13">
        <v>1979</v>
      </c>
      <c r="F13">
        <v>2060</v>
      </c>
      <c r="G13">
        <v>2075</v>
      </c>
      <c r="H13">
        <v>1</v>
      </c>
      <c r="N13">
        <v>0.4</v>
      </c>
      <c r="Q13">
        <v>0</v>
      </c>
      <c r="R13">
        <v>0</v>
      </c>
      <c r="S13">
        <v>50</v>
      </c>
      <c r="U13">
        <v>0</v>
      </c>
      <c r="W13">
        <v>0</v>
      </c>
      <c r="X13">
        <v>0</v>
      </c>
      <c r="Y13">
        <v>0</v>
      </c>
      <c r="Z13">
        <v>0</v>
      </c>
    </row>
    <row r="14" spans="1:26" x14ac:dyDescent="0.45">
      <c r="A14" t="s">
        <v>59</v>
      </c>
      <c r="B14" t="s">
        <v>33</v>
      </c>
      <c r="C14" t="s">
        <v>31</v>
      </c>
      <c r="D14" t="s">
        <v>40</v>
      </c>
      <c r="E14">
        <v>2030</v>
      </c>
      <c r="F14">
        <v>2060</v>
      </c>
      <c r="G14">
        <v>70</v>
      </c>
      <c r="H14">
        <v>3</v>
      </c>
      <c r="J14">
        <v>10</v>
      </c>
      <c r="K14">
        <v>0.9</v>
      </c>
      <c r="L14">
        <v>0.9</v>
      </c>
      <c r="R14">
        <v>1.5</v>
      </c>
      <c r="T14">
        <v>60</v>
      </c>
      <c r="U14">
        <v>0</v>
      </c>
      <c r="W14">
        <v>0</v>
      </c>
      <c r="X14">
        <v>0</v>
      </c>
      <c r="Y14">
        <v>0</v>
      </c>
      <c r="Z14">
        <v>0</v>
      </c>
    </row>
    <row r="15" spans="1:26" x14ac:dyDescent="0.45">
      <c r="A15" t="s">
        <v>60</v>
      </c>
      <c r="B15" t="s">
        <v>46</v>
      </c>
      <c r="C15" t="s">
        <v>37</v>
      </c>
      <c r="D15" t="s">
        <v>38</v>
      </c>
      <c r="E15">
        <v>2034</v>
      </c>
      <c r="F15">
        <v>2112</v>
      </c>
      <c r="G15">
        <v>430</v>
      </c>
      <c r="H15">
        <v>3</v>
      </c>
      <c r="N15">
        <v>0.27807048400000001</v>
      </c>
      <c r="R15">
        <v>3.115813953</v>
      </c>
      <c r="S15">
        <v>50</v>
      </c>
      <c r="T15">
        <v>430</v>
      </c>
      <c r="U15">
        <v>0</v>
      </c>
      <c r="W15">
        <v>0</v>
      </c>
      <c r="X15">
        <v>0</v>
      </c>
      <c r="Y15">
        <v>0</v>
      </c>
      <c r="Z15">
        <v>0</v>
      </c>
    </row>
    <row r="16" spans="1:26" x14ac:dyDescent="0.45">
      <c r="A16" t="s">
        <v>61</v>
      </c>
      <c r="B16" t="s">
        <v>48</v>
      </c>
      <c r="C16" t="s">
        <v>37</v>
      </c>
      <c r="D16" t="s">
        <v>38</v>
      </c>
      <c r="E16">
        <v>2034</v>
      </c>
      <c r="F16">
        <v>2112</v>
      </c>
      <c r="G16">
        <v>430</v>
      </c>
      <c r="H16">
        <v>3</v>
      </c>
      <c r="N16">
        <v>0.27807048400000001</v>
      </c>
      <c r="R16">
        <v>3.115813953</v>
      </c>
      <c r="S16">
        <v>50</v>
      </c>
      <c r="T16">
        <v>430</v>
      </c>
      <c r="U16">
        <v>0</v>
      </c>
      <c r="W16">
        <v>0</v>
      </c>
      <c r="X16">
        <v>0</v>
      </c>
      <c r="Y16">
        <v>0</v>
      </c>
      <c r="Z16">
        <v>0</v>
      </c>
    </row>
    <row r="17" spans="1:26" x14ac:dyDescent="0.45">
      <c r="A17" t="s">
        <v>62</v>
      </c>
      <c r="B17" t="s">
        <v>63</v>
      </c>
      <c r="C17" t="s">
        <v>37</v>
      </c>
      <c r="D17" t="s">
        <v>38</v>
      </c>
      <c r="E17">
        <v>2022</v>
      </c>
      <c r="F17">
        <v>2060</v>
      </c>
      <c r="G17">
        <v>240</v>
      </c>
      <c r="H17">
        <v>1</v>
      </c>
      <c r="N17">
        <v>0.19343517199999999</v>
      </c>
      <c r="Q17">
        <v>0</v>
      </c>
      <c r="R17">
        <v>0</v>
      </c>
      <c r="S17">
        <v>50</v>
      </c>
      <c r="T17">
        <v>0</v>
      </c>
      <c r="U17">
        <v>0</v>
      </c>
      <c r="W17">
        <v>0</v>
      </c>
      <c r="X17">
        <v>0</v>
      </c>
      <c r="Y17">
        <v>0</v>
      </c>
      <c r="Z17">
        <v>0</v>
      </c>
    </row>
    <row r="18" spans="1:26" x14ac:dyDescent="0.45">
      <c r="A18" t="s">
        <v>64</v>
      </c>
      <c r="B18" t="s">
        <v>46</v>
      </c>
      <c r="C18" t="s">
        <v>27</v>
      </c>
      <c r="D18" t="s">
        <v>34</v>
      </c>
      <c r="E18">
        <v>2017</v>
      </c>
      <c r="F18">
        <v>2049</v>
      </c>
      <c r="G18">
        <v>96</v>
      </c>
      <c r="H18">
        <v>1</v>
      </c>
      <c r="J18">
        <v>10.42</v>
      </c>
      <c r="K18">
        <v>1</v>
      </c>
      <c r="L18">
        <v>1</v>
      </c>
      <c r="M18">
        <v>0</v>
      </c>
      <c r="N18">
        <v>0.4</v>
      </c>
      <c r="Q18">
        <v>0</v>
      </c>
      <c r="R18">
        <v>0</v>
      </c>
      <c r="S18">
        <v>30</v>
      </c>
      <c r="T18">
        <v>0</v>
      </c>
      <c r="U18">
        <v>0</v>
      </c>
      <c r="W18">
        <v>0</v>
      </c>
      <c r="X18">
        <v>0</v>
      </c>
      <c r="Y18">
        <v>0</v>
      </c>
      <c r="Z18">
        <v>0</v>
      </c>
    </row>
    <row r="19" spans="1:26" x14ac:dyDescent="0.45">
      <c r="A19" t="s">
        <v>65</v>
      </c>
      <c r="B19" t="s">
        <v>46</v>
      </c>
      <c r="C19" t="s">
        <v>66</v>
      </c>
      <c r="D19" t="s">
        <v>67</v>
      </c>
      <c r="E19">
        <v>2025</v>
      </c>
      <c r="F19">
        <v>2050</v>
      </c>
      <c r="G19">
        <v>228</v>
      </c>
      <c r="H19">
        <v>1</v>
      </c>
      <c r="R19">
        <v>0.8</v>
      </c>
      <c r="Y19">
        <v>1</v>
      </c>
    </row>
    <row r="20" spans="1:26" x14ac:dyDescent="0.45">
      <c r="A20" t="s">
        <v>68</v>
      </c>
      <c r="B20" t="s">
        <v>36</v>
      </c>
      <c r="C20" t="s">
        <v>37</v>
      </c>
      <c r="D20" t="s">
        <v>38</v>
      </c>
      <c r="E20">
        <v>2027</v>
      </c>
      <c r="F20">
        <v>2107</v>
      </c>
      <c r="G20">
        <v>2172</v>
      </c>
      <c r="H20">
        <v>2</v>
      </c>
      <c r="N20">
        <v>0.27807048400000001</v>
      </c>
      <c r="R20">
        <v>3.115813953</v>
      </c>
      <c r="S20">
        <v>50</v>
      </c>
      <c r="T20">
        <v>2172</v>
      </c>
      <c r="U20">
        <v>0</v>
      </c>
      <c r="W20">
        <v>0</v>
      </c>
      <c r="X20">
        <v>0</v>
      </c>
      <c r="Y20">
        <v>0</v>
      </c>
      <c r="Z20">
        <v>0</v>
      </c>
    </row>
    <row r="21" spans="1:26" x14ac:dyDescent="0.45">
      <c r="A21" t="s">
        <v>69</v>
      </c>
      <c r="B21" t="s">
        <v>70</v>
      </c>
      <c r="C21" t="s">
        <v>37</v>
      </c>
      <c r="D21" t="s">
        <v>38</v>
      </c>
      <c r="E21">
        <v>2035</v>
      </c>
      <c r="F21">
        <v>2115</v>
      </c>
      <c r="G21">
        <v>1200</v>
      </c>
      <c r="H21">
        <v>3</v>
      </c>
      <c r="N21">
        <v>0.27807048400000001</v>
      </c>
      <c r="R21">
        <v>3.12</v>
      </c>
      <c r="S21">
        <v>50</v>
      </c>
      <c r="T21">
        <v>1200</v>
      </c>
      <c r="U21">
        <v>0</v>
      </c>
      <c r="W21">
        <v>0</v>
      </c>
      <c r="X21">
        <v>0</v>
      </c>
      <c r="Y21">
        <v>0</v>
      </c>
      <c r="Z21">
        <v>0</v>
      </c>
    </row>
    <row r="22" spans="1:26" x14ac:dyDescent="0.45">
      <c r="A22" t="s">
        <v>72</v>
      </c>
      <c r="B22" t="s">
        <v>30</v>
      </c>
      <c r="C22" t="s">
        <v>66</v>
      </c>
      <c r="D22" t="s">
        <v>67</v>
      </c>
      <c r="E22">
        <v>2022</v>
      </c>
      <c r="F22">
        <v>2060</v>
      </c>
      <c r="G22">
        <v>171</v>
      </c>
      <c r="H22">
        <v>1</v>
      </c>
      <c r="R22">
        <v>0</v>
      </c>
      <c r="U22">
        <v>0</v>
      </c>
      <c r="W22">
        <v>0</v>
      </c>
      <c r="X22">
        <v>0</v>
      </c>
      <c r="Y22">
        <v>1</v>
      </c>
      <c r="Z22">
        <v>0</v>
      </c>
    </row>
    <row r="23" spans="1:26" x14ac:dyDescent="0.45">
      <c r="A23" t="s">
        <v>73</v>
      </c>
      <c r="B23" t="s">
        <v>70</v>
      </c>
      <c r="C23" t="s">
        <v>71</v>
      </c>
      <c r="D23" t="s">
        <v>38</v>
      </c>
      <c r="E23">
        <v>2004</v>
      </c>
      <c r="F23">
        <v>2060</v>
      </c>
      <c r="G23">
        <v>21</v>
      </c>
      <c r="H23">
        <v>1</v>
      </c>
      <c r="N23">
        <v>0.107375</v>
      </c>
      <c r="Q23">
        <v>0</v>
      </c>
      <c r="R23">
        <v>0</v>
      </c>
      <c r="S23">
        <v>50</v>
      </c>
      <c r="U23">
        <v>0</v>
      </c>
      <c r="W23">
        <v>0</v>
      </c>
      <c r="X23">
        <v>0</v>
      </c>
      <c r="Y23">
        <v>0</v>
      </c>
      <c r="Z23">
        <v>0</v>
      </c>
    </row>
    <row r="24" spans="1:26" x14ac:dyDescent="0.45">
      <c r="A24" t="s">
        <v>74</v>
      </c>
      <c r="B24" t="s">
        <v>70</v>
      </c>
      <c r="C24" t="s">
        <v>71</v>
      </c>
      <c r="D24" t="s">
        <v>38</v>
      </c>
      <c r="E24">
        <v>2026</v>
      </c>
      <c r="F24">
        <v>2106</v>
      </c>
      <c r="G24">
        <v>9</v>
      </c>
      <c r="H24">
        <v>2</v>
      </c>
      <c r="N24">
        <v>0.107375</v>
      </c>
      <c r="Q24">
        <v>0</v>
      </c>
      <c r="R24">
        <v>2.8</v>
      </c>
      <c r="T24">
        <v>9</v>
      </c>
    </row>
    <row r="25" spans="1:26" x14ac:dyDescent="0.45">
      <c r="A25" t="s">
        <v>75</v>
      </c>
      <c r="B25" t="s">
        <v>76</v>
      </c>
      <c r="C25" t="s">
        <v>53</v>
      </c>
      <c r="D25" t="s">
        <v>44</v>
      </c>
      <c r="E25">
        <v>2018</v>
      </c>
      <c r="F25">
        <v>2068</v>
      </c>
      <c r="G25">
        <v>106</v>
      </c>
      <c r="H25">
        <v>1</v>
      </c>
      <c r="J25">
        <v>10.425986999999999</v>
      </c>
      <c r="K25">
        <v>0.3</v>
      </c>
      <c r="L25">
        <v>0.3</v>
      </c>
      <c r="R25">
        <v>0</v>
      </c>
      <c r="T25">
        <v>0</v>
      </c>
      <c r="U25">
        <v>0</v>
      </c>
      <c r="V25">
        <v>7</v>
      </c>
      <c r="W25">
        <v>11.125987</v>
      </c>
      <c r="X25">
        <v>0.5</v>
      </c>
      <c r="Y25">
        <v>0</v>
      </c>
    </row>
    <row r="26" spans="1:26" x14ac:dyDescent="0.45">
      <c r="A26" t="s">
        <v>77</v>
      </c>
      <c r="B26" t="s">
        <v>58</v>
      </c>
      <c r="C26" t="s">
        <v>31</v>
      </c>
      <c r="D26" t="s">
        <v>40</v>
      </c>
      <c r="E26">
        <v>2025</v>
      </c>
      <c r="F26">
        <v>2060</v>
      </c>
      <c r="G26">
        <v>32</v>
      </c>
      <c r="H26">
        <v>3</v>
      </c>
      <c r="J26">
        <v>10</v>
      </c>
      <c r="K26">
        <v>0.9</v>
      </c>
      <c r="L26">
        <v>0.9</v>
      </c>
      <c r="Q26">
        <v>0</v>
      </c>
      <c r="R26">
        <v>1.5</v>
      </c>
      <c r="T26">
        <v>32</v>
      </c>
    </row>
    <row r="27" spans="1:26" x14ac:dyDescent="0.45">
      <c r="A27" t="s">
        <v>78</v>
      </c>
      <c r="B27" t="s">
        <v>57</v>
      </c>
      <c r="C27" t="s">
        <v>37</v>
      </c>
      <c r="D27" t="s">
        <v>38</v>
      </c>
      <c r="E27">
        <v>2000</v>
      </c>
      <c r="F27">
        <v>2060</v>
      </c>
      <c r="G27">
        <v>85</v>
      </c>
      <c r="H27">
        <v>1</v>
      </c>
      <c r="N27">
        <v>0.40644013800000001</v>
      </c>
      <c r="Q27">
        <v>0</v>
      </c>
      <c r="R27">
        <v>0</v>
      </c>
      <c r="S27">
        <v>50</v>
      </c>
      <c r="U27">
        <v>0</v>
      </c>
      <c r="W27">
        <v>0</v>
      </c>
      <c r="X27">
        <v>0</v>
      </c>
      <c r="Y27">
        <v>0</v>
      </c>
      <c r="Z27">
        <v>0</v>
      </c>
    </row>
    <row r="28" spans="1:26" x14ac:dyDescent="0.45">
      <c r="A28" t="s">
        <v>79</v>
      </c>
      <c r="B28" t="s">
        <v>70</v>
      </c>
      <c r="C28" t="s">
        <v>71</v>
      </c>
      <c r="D28" t="s">
        <v>38</v>
      </c>
      <c r="E28">
        <v>2033</v>
      </c>
      <c r="F28">
        <v>2110</v>
      </c>
      <c r="G28">
        <v>1200</v>
      </c>
      <c r="H28">
        <v>3</v>
      </c>
      <c r="N28">
        <v>0.27807048400000001</v>
      </c>
      <c r="R28">
        <v>3.12</v>
      </c>
      <c r="S28">
        <v>50</v>
      </c>
      <c r="T28">
        <v>300</v>
      </c>
      <c r="U28">
        <v>0</v>
      </c>
      <c r="W28">
        <v>0</v>
      </c>
      <c r="X28">
        <v>0</v>
      </c>
      <c r="Y28">
        <v>0</v>
      </c>
      <c r="Z28">
        <v>0</v>
      </c>
    </row>
    <row r="29" spans="1:26" x14ac:dyDescent="0.45">
      <c r="A29" t="s">
        <v>80</v>
      </c>
      <c r="B29" t="s">
        <v>70</v>
      </c>
      <c r="C29" t="s">
        <v>66</v>
      </c>
      <c r="D29" t="s">
        <v>67</v>
      </c>
      <c r="E29">
        <v>2026</v>
      </c>
      <c r="F29">
        <v>2056</v>
      </c>
      <c r="G29">
        <v>50</v>
      </c>
      <c r="H29">
        <v>2</v>
      </c>
      <c r="R29">
        <v>0.8</v>
      </c>
      <c r="T29">
        <v>50</v>
      </c>
      <c r="Y29">
        <v>1</v>
      </c>
    </row>
    <row r="30" spans="1:26" x14ac:dyDescent="0.45">
      <c r="A30" t="s">
        <v>81</v>
      </c>
      <c r="B30" t="s">
        <v>82</v>
      </c>
      <c r="C30" t="s">
        <v>71</v>
      </c>
      <c r="D30" t="s">
        <v>38</v>
      </c>
      <c r="E30">
        <v>1959</v>
      </c>
      <c r="F30">
        <v>2060</v>
      </c>
      <c r="G30">
        <v>41</v>
      </c>
      <c r="H30">
        <v>1</v>
      </c>
      <c r="N30">
        <v>0.121826136</v>
      </c>
      <c r="Q30">
        <v>0</v>
      </c>
      <c r="R30">
        <v>0</v>
      </c>
      <c r="S30">
        <v>50</v>
      </c>
      <c r="U30">
        <v>0</v>
      </c>
      <c r="W30">
        <v>0</v>
      </c>
      <c r="X30">
        <v>0</v>
      </c>
      <c r="Y30">
        <v>0</v>
      </c>
      <c r="Z30">
        <v>0</v>
      </c>
    </row>
    <row r="31" spans="1:26" x14ac:dyDescent="0.45">
      <c r="A31" t="s">
        <v>83</v>
      </c>
      <c r="B31" t="s">
        <v>84</v>
      </c>
      <c r="C31" t="s">
        <v>27</v>
      </c>
      <c r="D31" t="s">
        <v>28</v>
      </c>
      <c r="E31">
        <v>2000</v>
      </c>
      <c r="F31">
        <v>2026</v>
      </c>
      <c r="G31">
        <v>73</v>
      </c>
      <c r="H31">
        <v>1</v>
      </c>
      <c r="J31">
        <v>10.41544727</v>
      </c>
      <c r="R31">
        <v>0</v>
      </c>
      <c r="U31">
        <v>0</v>
      </c>
      <c r="W31">
        <v>0</v>
      </c>
      <c r="X31">
        <v>0</v>
      </c>
      <c r="Y31">
        <v>0</v>
      </c>
      <c r="Z31">
        <v>0</v>
      </c>
    </row>
    <row r="32" spans="1:26" x14ac:dyDescent="0.45">
      <c r="A32" t="s">
        <v>85</v>
      </c>
      <c r="B32" t="s">
        <v>33</v>
      </c>
      <c r="C32" t="s">
        <v>53</v>
      </c>
      <c r="D32" t="s">
        <v>44</v>
      </c>
      <c r="E32">
        <v>2027</v>
      </c>
      <c r="F32">
        <v>2077</v>
      </c>
      <c r="G32">
        <v>50</v>
      </c>
      <c r="H32">
        <v>3</v>
      </c>
      <c r="J32">
        <v>10.41544727</v>
      </c>
      <c r="K32">
        <v>0.3</v>
      </c>
      <c r="L32">
        <v>0.3</v>
      </c>
      <c r="R32">
        <v>1.0168157419999999</v>
      </c>
      <c r="T32">
        <v>50</v>
      </c>
      <c r="U32">
        <v>0</v>
      </c>
      <c r="Z32">
        <v>50</v>
      </c>
    </row>
    <row r="33" spans="1:26" x14ac:dyDescent="0.45">
      <c r="A33" t="s">
        <v>86</v>
      </c>
      <c r="B33" t="s">
        <v>33</v>
      </c>
      <c r="C33" t="s">
        <v>37</v>
      </c>
      <c r="D33" t="s">
        <v>38</v>
      </c>
      <c r="E33">
        <v>2033</v>
      </c>
      <c r="F33">
        <v>2060</v>
      </c>
      <c r="G33">
        <v>500</v>
      </c>
      <c r="H33">
        <v>3</v>
      </c>
      <c r="N33">
        <v>0.32507730600000001</v>
      </c>
      <c r="R33">
        <v>3.4449999999999998</v>
      </c>
      <c r="T33">
        <v>100</v>
      </c>
      <c r="U33">
        <v>0</v>
      </c>
      <c r="W33">
        <v>0</v>
      </c>
      <c r="X33">
        <v>0</v>
      </c>
      <c r="Y33">
        <v>0</v>
      </c>
      <c r="Z33">
        <v>0</v>
      </c>
    </row>
    <row r="34" spans="1:26" x14ac:dyDescent="0.45">
      <c r="A34" t="s">
        <v>87</v>
      </c>
      <c r="B34" t="s">
        <v>84</v>
      </c>
      <c r="C34" t="s">
        <v>31</v>
      </c>
      <c r="D34" t="s">
        <v>32</v>
      </c>
      <c r="E34">
        <v>1989</v>
      </c>
      <c r="F34">
        <v>2055</v>
      </c>
      <c r="G34">
        <v>652</v>
      </c>
      <c r="H34">
        <v>1</v>
      </c>
      <c r="J34">
        <v>11.373804</v>
      </c>
      <c r="K34">
        <v>0.33</v>
      </c>
      <c r="L34">
        <v>0.33</v>
      </c>
      <c r="R34">
        <v>0</v>
      </c>
      <c r="U34">
        <v>0</v>
      </c>
      <c r="W34">
        <v>0</v>
      </c>
      <c r="X34">
        <v>0.1</v>
      </c>
      <c r="Y34">
        <v>0</v>
      </c>
      <c r="Z34">
        <v>132</v>
      </c>
    </row>
    <row r="35" spans="1:26" x14ac:dyDescent="0.45">
      <c r="A35" t="s">
        <v>88</v>
      </c>
      <c r="B35" t="s">
        <v>84</v>
      </c>
      <c r="C35" t="s">
        <v>53</v>
      </c>
      <c r="D35" t="s">
        <v>28</v>
      </c>
      <c r="E35">
        <v>2000</v>
      </c>
      <c r="F35">
        <v>2031</v>
      </c>
      <c r="G35">
        <v>90</v>
      </c>
      <c r="H35">
        <v>1</v>
      </c>
      <c r="J35">
        <v>10.41544727</v>
      </c>
      <c r="K35">
        <v>0.3</v>
      </c>
      <c r="L35">
        <v>0.3</v>
      </c>
      <c r="R35">
        <v>0</v>
      </c>
      <c r="U35">
        <v>0</v>
      </c>
      <c r="W35">
        <v>0</v>
      </c>
      <c r="X35">
        <v>0</v>
      </c>
      <c r="Y35">
        <v>0</v>
      </c>
      <c r="Z35">
        <v>0</v>
      </c>
    </row>
    <row r="36" spans="1:26" x14ac:dyDescent="0.45">
      <c r="A36" t="s">
        <v>89</v>
      </c>
      <c r="B36" t="s">
        <v>84</v>
      </c>
      <c r="C36" t="s">
        <v>66</v>
      </c>
      <c r="D36" t="s">
        <v>67</v>
      </c>
      <c r="E36">
        <v>2025</v>
      </c>
      <c r="F36">
        <v>2056</v>
      </c>
      <c r="G36">
        <v>110</v>
      </c>
      <c r="H36">
        <v>1</v>
      </c>
      <c r="R36">
        <v>0.8</v>
      </c>
      <c r="T36">
        <v>100</v>
      </c>
      <c r="Y36">
        <v>1</v>
      </c>
    </row>
    <row r="37" spans="1:26" x14ac:dyDescent="0.45">
      <c r="A37" t="s">
        <v>90</v>
      </c>
      <c r="B37" t="s">
        <v>82</v>
      </c>
      <c r="C37" t="s">
        <v>66</v>
      </c>
      <c r="D37" t="s">
        <v>67</v>
      </c>
      <c r="E37">
        <v>2025</v>
      </c>
      <c r="F37">
        <v>2055</v>
      </c>
      <c r="G37">
        <v>47.6</v>
      </c>
      <c r="H37">
        <v>1</v>
      </c>
      <c r="R37">
        <v>0.8</v>
      </c>
      <c r="T37">
        <v>192</v>
      </c>
      <c r="Y37">
        <v>1</v>
      </c>
    </row>
    <row r="38" spans="1:26" x14ac:dyDescent="0.45">
      <c r="A38" t="s">
        <v>91</v>
      </c>
      <c r="B38" t="s">
        <v>82</v>
      </c>
      <c r="C38" t="s">
        <v>66</v>
      </c>
      <c r="D38" t="s">
        <v>67</v>
      </c>
      <c r="E38">
        <v>2027</v>
      </c>
      <c r="F38">
        <v>2057</v>
      </c>
      <c r="G38">
        <v>33</v>
      </c>
      <c r="H38">
        <v>2</v>
      </c>
      <c r="R38">
        <v>0.8</v>
      </c>
      <c r="Y38">
        <v>1</v>
      </c>
    </row>
    <row r="39" spans="1:26" x14ac:dyDescent="0.45">
      <c r="A39" t="s">
        <v>92</v>
      </c>
      <c r="B39" t="s">
        <v>93</v>
      </c>
      <c r="C39" t="s">
        <v>66</v>
      </c>
      <c r="D39" t="s">
        <v>67</v>
      </c>
      <c r="E39">
        <v>2028</v>
      </c>
      <c r="F39">
        <v>2057</v>
      </c>
      <c r="G39">
        <v>121.9</v>
      </c>
      <c r="H39">
        <v>2</v>
      </c>
      <c r="R39">
        <v>0.8</v>
      </c>
      <c r="Y39">
        <v>1</v>
      </c>
    </row>
    <row r="40" spans="1:26" x14ac:dyDescent="0.45">
      <c r="A40" t="s">
        <v>94</v>
      </c>
      <c r="B40" t="s">
        <v>95</v>
      </c>
      <c r="C40" t="s">
        <v>37</v>
      </c>
      <c r="D40" t="s">
        <v>38</v>
      </c>
      <c r="E40">
        <v>1974</v>
      </c>
      <c r="F40">
        <v>2060</v>
      </c>
      <c r="G40">
        <v>1287</v>
      </c>
      <c r="H40">
        <v>1</v>
      </c>
      <c r="N40">
        <v>0.38500000000000001</v>
      </c>
      <c r="Q40">
        <v>0</v>
      </c>
      <c r="R40">
        <v>0</v>
      </c>
      <c r="S40">
        <v>50</v>
      </c>
      <c r="U40">
        <v>0</v>
      </c>
      <c r="W40">
        <v>0</v>
      </c>
      <c r="X40">
        <v>0</v>
      </c>
      <c r="Y40">
        <v>0</v>
      </c>
      <c r="Z40">
        <v>0</v>
      </c>
    </row>
    <row r="41" spans="1:26" x14ac:dyDescent="0.45">
      <c r="A41" t="s">
        <v>98</v>
      </c>
      <c r="B41" t="s">
        <v>82</v>
      </c>
      <c r="C41" t="s">
        <v>27</v>
      </c>
      <c r="D41" t="s">
        <v>34</v>
      </c>
      <c r="E41">
        <v>2012</v>
      </c>
      <c r="F41">
        <v>2055</v>
      </c>
      <c r="G41">
        <v>384.07</v>
      </c>
      <c r="H41">
        <v>1</v>
      </c>
      <c r="J41">
        <v>11.498389810000001</v>
      </c>
      <c r="K41">
        <v>0.3</v>
      </c>
      <c r="L41">
        <v>0.3</v>
      </c>
      <c r="R41">
        <v>0</v>
      </c>
      <c r="U41">
        <v>0</v>
      </c>
      <c r="V41">
        <v>7</v>
      </c>
      <c r="W41">
        <v>12.19838981</v>
      </c>
      <c r="X41">
        <v>0.25</v>
      </c>
      <c r="Y41">
        <v>0</v>
      </c>
    </row>
    <row r="42" spans="1:26" x14ac:dyDescent="0.45">
      <c r="A42" t="s">
        <v>99</v>
      </c>
      <c r="B42" t="s">
        <v>26</v>
      </c>
      <c r="C42" t="s">
        <v>53</v>
      </c>
      <c r="D42" t="s">
        <v>28</v>
      </c>
      <c r="E42">
        <v>2015</v>
      </c>
      <c r="F42">
        <v>2065</v>
      </c>
      <c r="G42">
        <v>837</v>
      </c>
      <c r="H42">
        <v>1</v>
      </c>
      <c r="J42">
        <v>13.621078109999999</v>
      </c>
      <c r="K42">
        <v>0.3</v>
      </c>
      <c r="L42">
        <v>0.3</v>
      </c>
      <c r="R42">
        <v>0</v>
      </c>
      <c r="U42">
        <v>0</v>
      </c>
      <c r="W42">
        <v>0</v>
      </c>
      <c r="X42">
        <v>0</v>
      </c>
      <c r="Y42">
        <v>0</v>
      </c>
      <c r="Z42">
        <v>0</v>
      </c>
    </row>
    <row r="43" spans="1:26" x14ac:dyDescent="0.45">
      <c r="A43" t="s">
        <v>100</v>
      </c>
      <c r="B43" t="s">
        <v>48</v>
      </c>
      <c r="C43" t="s">
        <v>96</v>
      </c>
      <c r="D43" t="s">
        <v>97</v>
      </c>
      <c r="E43">
        <v>2027</v>
      </c>
      <c r="F43">
        <v>2057</v>
      </c>
      <c r="G43">
        <v>94</v>
      </c>
      <c r="H43">
        <v>2</v>
      </c>
      <c r="K43">
        <v>1</v>
      </c>
      <c r="L43">
        <v>1</v>
      </c>
      <c r="R43">
        <v>1.3</v>
      </c>
      <c r="T43">
        <v>44</v>
      </c>
      <c r="Y43">
        <v>1</v>
      </c>
    </row>
    <row r="44" spans="1:26" x14ac:dyDescent="0.45">
      <c r="A44" t="s">
        <v>101</v>
      </c>
      <c r="B44" t="s">
        <v>102</v>
      </c>
      <c r="C44" t="s">
        <v>71</v>
      </c>
      <c r="D44" t="s">
        <v>38</v>
      </c>
      <c r="E44">
        <v>1964</v>
      </c>
      <c r="F44">
        <v>2050</v>
      </c>
      <c r="G44">
        <v>15</v>
      </c>
      <c r="H44">
        <v>1</v>
      </c>
      <c r="N44">
        <v>0.152</v>
      </c>
      <c r="Q44">
        <v>0</v>
      </c>
      <c r="R44">
        <v>0</v>
      </c>
      <c r="S44">
        <v>50</v>
      </c>
      <c r="U44">
        <v>0</v>
      </c>
      <c r="W44">
        <v>0</v>
      </c>
      <c r="X44">
        <v>0</v>
      </c>
      <c r="Y44">
        <v>0</v>
      </c>
      <c r="Z44">
        <v>0</v>
      </c>
    </row>
    <row r="45" spans="1:26" x14ac:dyDescent="0.45">
      <c r="A45" t="s">
        <v>103</v>
      </c>
      <c r="B45" t="s">
        <v>84</v>
      </c>
      <c r="C45" t="s">
        <v>66</v>
      </c>
      <c r="D45" t="s">
        <v>67</v>
      </c>
      <c r="E45">
        <v>2027</v>
      </c>
      <c r="F45">
        <v>2056</v>
      </c>
      <c r="G45">
        <v>100</v>
      </c>
      <c r="H45">
        <v>2</v>
      </c>
      <c r="R45">
        <v>0.8</v>
      </c>
      <c r="T45">
        <v>100</v>
      </c>
      <c r="Y45">
        <v>1</v>
      </c>
    </row>
    <row r="46" spans="1:26" x14ac:dyDescent="0.45">
      <c r="A46" t="s">
        <v>104</v>
      </c>
      <c r="B46" t="s">
        <v>57</v>
      </c>
      <c r="C46" t="s">
        <v>37</v>
      </c>
      <c r="D46" t="s">
        <v>38</v>
      </c>
      <c r="E46">
        <v>2000</v>
      </c>
      <c r="F46">
        <v>2060</v>
      </c>
      <c r="G46">
        <v>16.600000000000001</v>
      </c>
      <c r="H46">
        <v>1</v>
      </c>
      <c r="N46">
        <v>0.40644013800000001</v>
      </c>
      <c r="Q46">
        <v>0</v>
      </c>
      <c r="R46">
        <v>0</v>
      </c>
      <c r="S46">
        <v>50</v>
      </c>
      <c r="U46">
        <v>0</v>
      </c>
      <c r="W46">
        <v>0</v>
      </c>
      <c r="X46">
        <v>0</v>
      </c>
      <c r="Y46">
        <v>0</v>
      </c>
      <c r="Z46">
        <v>0</v>
      </c>
    </row>
    <row r="47" spans="1:26" x14ac:dyDescent="0.45">
      <c r="A47" t="s">
        <v>105</v>
      </c>
      <c r="B47" t="s">
        <v>106</v>
      </c>
      <c r="C47" t="s">
        <v>66</v>
      </c>
      <c r="D47" t="s">
        <v>67</v>
      </c>
      <c r="E47">
        <v>2019</v>
      </c>
      <c r="F47">
        <v>2060</v>
      </c>
      <c r="G47">
        <v>20</v>
      </c>
      <c r="H47">
        <v>1</v>
      </c>
      <c r="J47">
        <v>0</v>
      </c>
      <c r="R47">
        <v>0</v>
      </c>
      <c r="T47">
        <v>0</v>
      </c>
      <c r="U47">
        <v>0</v>
      </c>
      <c r="W47">
        <v>0</v>
      </c>
      <c r="X47">
        <v>0</v>
      </c>
      <c r="Y47">
        <v>1</v>
      </c>
      <c r="Z47">
        <v>0</v>
      </c>
    </row>
    <row r="48" spans="1:26" x14ac:dyDescent="0.45">
      <c r="A48" t="s">
        <v>107</v>
      </c>
      <c r="B48" t="s">
        <v>48</v>
      </c>
      <c r="C48" t="s">
        <v>66</v>
      </c>
      <c r="D48" t="s">
        <v>67</v>
      </c>
      <c r="E48">
        <v>2015</v>
      </c>
      <c r="F48">
        <v>2060</v>
      </c>
      <c r="G48">
        <v>147</v>
      </c>
      <c r="H48">
        <v>1</v>
      </c>
      <c r="J48">
        <v>0</v>
      </c>
      <c r="R48">
        <v>0</v>
      </c>
      <c r="T48">
        <v>0</v>
      </c>
      <c r="U48">
        <v>0</v>
      </c>
      <c r="W48">
        <v>0</v>
      </c>
      <c r="X48">
        <v>0</v>
      </c>
      <c r="Y48">
        <v>1</v>
      </c>
      <c r="Z48">
        <v>0</v>
      </c>
    </row>
    <row r="49" spans="1:26" x14ac:dyDescent="0.45">
      <c r="A49" t="s">
        <v>108</v>
      </c>
      <c r="B49" t="s">
        <v>48</v>
      </c>
      <c r="C49" t="s">
        <v>96</v>
      </c>
      <c r="D49" t="s">
        <v>97</v>
      </c>
      <c r="E49">
        <v>2020</v>
      </c>
      <c r="F49">
        <v>2055</v>
      </c>
      <c r="G49">
        <v>5</v>
      </c>
      <c r="H49">
        <v>1</v>
      </c>
      <c r="J49">
        <v>0</v>
      </c>
      <c r="K49">
        <v>1</v>
      </c>
      <c r="L49">
        <v>1</v>
      </c>
      <c r="T49">
        <v>0</v>
      </c>
      <c r="U49">
        <v>0</v>
      </c>
      <c r="W49">
        <v>0</v>
      </c>
      <c r="X49">
        <v>0</v>
      </c>
      <c r="Y49">
        <v>1</v>
      </c>
      <c r="Z49">
        <v>0</v>
      </c>
    </row>
    <row r="50" spans="1:26" x14ac:dyDescent="0.45">
      <c r="A50" t="s">
        <v>109</v>
      </c>
      <c r="B50" t="s">
        <v>26</v>
      </c>
      <c r="C50" t="s">
        <v>31</v>
      </c>
      <c r="D50" t="s">
        <v>32</v>
      </c>
      <c r="E50">
        <v>1967</v>
      </c>
      <c r="F50">
        <v>2030</v>
      </c>
      <c r="G50">
        <v>3208</v>
      </c>
      <c r="H50">
        <v>1</v>
      </c>
      <c r="I50">
        <v>0.3</v>
      </c>
      <c r="J50">
        <v>13.6</v>
      </c>
      <c r="K50">
        <v>0.33</v>
      </c>
      <c r="L50">
        <v>0.33</v>
      </c>
      <c r="R50">
        <v>0</v>
      </c>
      <c r="U50">
        <v>0</v>
      </c>
      <c r="W50">
        <v>0</v>
      </c>
      <c r="X50">
        <v>0.05</v>
      </c>
      <c r="Y50">
        <v>0</v>
      </c>
      <c r="Z50">
        <v>185.125</v>
      </c>
    </row>
    <row r="51" spans="1:26" x14ac:dyDescent="0.45">
      <c r="A51" t="s">
        <v>110</v>
      </c>
      <c r="B51" t="s">
        <v>26</v>
      </c>
      <c r="C51" t="s">
        <v>53</v>
      </c>
      <c r="D51" t="s">
        <v>28</v>
      </c>
      <c r="E51">
        <v>2015</v>
      </c>
      <c r="F51">
        <v>2065</v>
      </c>
      <c r="G51">
        <v>335</v>
      </c>
      <c r="H51">
        <v>1</v>
      </c>
      <c r="J51">
        <v>13.621078109999999</v>
      </c>
      <c r="K51">
        <v>0.3</v>
      </c>
      <c r="L51">
        <v>0.3</v>
      </c>
      <c r="R51">
        <v>0</v>
      </c>
      <c r="U51">
        <v>0</v>
      </c>
      <c r="W51">
        <v>0</v>
      </c>
      <c r="X51">
        <v>0</v>
      </c>
      <c r="Y51">
        <v>0</v>
      </c>
      <c r="Z51">
        <v>0</v>
      </c>
    </row>
    <row r="52" spans="1:26" x14ac:dyDescent="0.45">
      <c r="A52" t="s">
        <v>111</v>
      </c>
      <c r="B52" t="s">
        <v>26</v>
      </c>
      <c r="C52" t="s">
        <v>31</v>
      </c>
      <c r="D52" t="s">
        <v>32</v>
      </c>
      <c r="E52">
        <v>1980</v>
      </c>
      <c r="F52">
        <v>2032</v>
      </c>
      <c r="G52">
        <v>2875</v>
      </c>
      <c r="H52">
        <v>1</v>
      </c>
      <c r="I52">
        <v>0.3</v>
      </c>
      <c r="J52">
        <v>12.3</v>
      </c>
      <c r="K52">
        <v>0.33</v>
      </c>
      <c r="L52">
        <v>0.33</v>
      </c>
      <c r="R52">
        <v>0</v>
      </c>
      <c r="U52">
        <v>0</v>
      </c>
      <c r="W52">
        <v>0</v>
      </c>
      <c r="X52">
        <v>0.05</v>
      </c>
      <c r="Y52">
        <v>0</v>
      </c>
      <c r="Z52">
        <v>479.16666670000001</v>
      </c>
    </row>
    <row r="53" spans="1:26" x14ac:dyDescent="0.45">
      <c r="A53" t="s">
        <v>112</v>
      </c>
      <c r="B53" t="s">
        <v>93</v>
      </c>
      <c r="C53" t="s">
        <v>71</v>
      </c>
      <c r="D53" t="s">
        <v>38</v>
      </c>
      <c r="E53">
        <v>2000</v>
      </c>
      <c r="F53">
        <v>2060</v>
      </c>
      <c r="G53">
        <v>28.42</v>
      </c>
      <c r="H53">
        <v>1</v>
      </c>
      <c r="N53">
        <v>0.121826136</v>
      </c>
      <c r="Q53">
        <v>0</v>
      </c>
      <c r="R53">
        <v>0</v>
      </c>
      <c r="S53">
        <v>50</v>
      </c>
      <c r="U53">
        <v>0</v>
      </c>
      <c r="W53">
        <v>0</v>
      </c>
      <c r="X53">
        <v>0</v>
      </c>
      <c r="Y53">
        <v>0</v>
      </c>
      <c r="Z53">
        <v>0</v>
      </c>
    </row>
    <row r="54" spans="1:26" x14ac:dyDescent="0.45">
      <c r="A54" t="s">
        <v>113</v>
      </c>
      <c r="B54" t="s">
        <v>93</v>
      </c>
      <c r="C54" t="s">
        <v>27</v>
      </c>
      <c r="D54" t="s">
        <v>34</v>
      </c>
      <c r="E54">
        <v>2011</v>
      </c>
      <c r="F54">
        <v>2053</v>
      </c>
      <c r="G54">
        <v>80.05</v>
      </c>
      <c r="H54">
        <v>1</v>
      </c>
      <c r="J54">
        <v>10.42</v>
      </c>
      <c r="K54">
        <v>1</v>
      </c>
      <c r="L54">
        <v>1</v>
      </c>
      <c r="M54">
        <v>0</v>
      </c>
      <c r="N54">
        <v>0.4</v>
      </c>
      <c r="Q54">
        <v>0</v>
      </c>
      <c r="R54">
        <v>0</v>
      </c>
      <c r="S54">
        <v>30</v>
      </c>
      <c r="T54">
        <v>0</v>
      </c>
      <c r="U54">
        <v>0</v>
      </c>
      <c r="W54">
        <v>0</v>
      </c>
      <c r="X54">
        <v>0</v>
      </c>
      <c r="Y54">
        <v>0</v>
      </c>
      <c r="Z54">
        <v>0</v>
      </c>
    </row>
    <row r="55" spans="1:26" x14ac:dyDescent="0.45">
      <c r="A55" t="s">
        <v>114</v>
      </c>
      <c r="B55" t="s">
        <v>26</v>
      </c>
      <c r="C55" t="s">
        <v>50</v>
      </c>
      <c r="D55" t="s">
        <v>51</v>
      </c>
      <c r="E55">
        <v>2016</v>
      </c>
      <c r="F55">
        <v>2041</v>
      </c>
      <c r="G55">
        <v>50</v>
      </c>
      <c r="H55">
        <v>1</v>
      </c>
      <c r="J55">
        <v>0</v>
      </c>
      <c r="K55">
        <v>1</v>
      </c>
      <c r="L55">
        <v>1</v>
      </c>
      <c r="M55">
        <v>0</v>
      </c>
      <c r="N55">
        <v>0.8</v>
      </c>
      <c r="Q55">
        <v>0</v>
      </c>
      <c r="R55">
        <v>1.865</v>
      </c>
      <c r="S55">
        <v>30</v>
      </c>
      <c r="T55">
        <v>100</v>
      </c>
      <c r="U55">
        <v>0</v>
      </c>
      <c r="W55">
        <v>0</v>
      </c>
      <c r="X55">
        <v>0</v>
      </c>
      <c r="Y55">
        <v>0</v>
      </c>
    </row>
    <row r="56" spans="1:26" x14ac:dyDescent="0.45">
      <c r="A56" t="s">
        <v>115</v>
      </c>
      <c r="B56" t="s">
        <v>26</v>
      </c>
      <c r="C56" t="s">
        <v>50</v>
      </c>
      <c r="D56" t="s">
        <v>51</v>
      </c>
      <c r="E56">
        <v>2019</v>
      </c>
      <c r="F56">
        <v>2044</v>
      </c>
      <c r="G56">
        <v>100</v>
      </c>
      <c r="H56">
        <v>1</v>
      </c>
      <c r="J56">
        <v>0</v>
      </c>
      <c r="K56">
        <v>1</v>
      </c>
      <c r="L56">
        <v>1</v>
      </c>
      <c r="M56">
        <v>0</v>
      </c>
      <c r="N56">
        <v>0.8</v>
      </c>
      <c r="Q56">
        <v>0</v>
      </c>
      <c r="R56">
        <v>1.865</v>
      </c>
      <c r="S56">
        <v>30</v>
      </c>
      <c r="T56">
        <v>100</v>
      </c>
      <c r="U56">
        <v>0</v>
      </c>
      <c r="W56">
        <v>0</v>
      </c>
      <c r="X56">
        <v>0</v>
      </c>
      <c r="Y56">
        <v>0</v>
      </c>
    </row>
    <row r="57" spans="1:26" x14ac:dyDescent="0.45">
      <c r="A57" t="s">
        <v>116</v>
      </c>
      <c r="B57" t="s">
        <v>26</v>
      </c>
      <c r="C57" t="s">
        <v>50</v>
      </c>
      <c r="D57" t="s">
        <v>51</v>
      </c>
      <c r="E57">
        <v>2019</v>
      </c>
      <c r="F57">
        <v>2044</v>
      </c>
      <c r="G57">
        <v>100</v>
      </c>
      <c r="H57">
        <v>1</v>
      </c>
      <c r="J57">
        <v>0</v>
      </c>
      <c r="K57">
        <v>1</v>
      </c>
      <c r="L57">
        <v>1</v>
      </c>
      <c r="M57">
        <v>0</v>
      </c>
      <c r="N57">
        <v>0.8</v>
      </c>
      <c r="Q57">
        <v>0</v>
      </c>
      <c r="R57">
        <v>1.865</v>
      </c>
      <c r="S57">
        <v>30</v>
      </c>
      <c r="T57">
        <v>100</v>
      </c>
      <c r="U57">
        <v>0</v>
      </c>
      <c r="W57">
        <v>0</v>
      </c>
      <c r="X57">
        <v>0</v>
      </c>
      <c r="Y57">
        <v>0</v>
      </c>
    </row>
    <row r="58" spans="1:26" x14ac:dyDescent="0.45">
      <c r="A58" t="s">
        <v>117</v>
      </c>
      <c r="B58" t="s">
        <v>26</v>
      </c>
      <c r="C58" t="s">
        <v>50</v>
      </c>
      <c r="D58" t="s">
        <v>51</v>
      </c>
      <c r="E58">
        <v>2015</v>
      </c>
      <c r="F58">
        <v>2040</v>
      </c>
      <c r="G58">
        <v>100</v>
      </c>
      <c r="H58">
        <v>1</v>
      </c>
      <c r="J58">
        <v>0</v>
      </c>
      <c r="K58">
        <v>1</v>
      </c>
      <c r="L58">
        <v>1</v>
      </c>
      <c r="M58">
        <v>0</v>
      </c>
      <c r="N58">
        <v>0.8</v>
      </c>
      <c r="Q58">
        <v>0</v>
      </c>
      <c r="R58">
        <v>1.865</v>
      </c>
      <c r="S58">
        <v>30</v>
      </c>
      <c r="T58">
        <v>100</v>
      </c>
      <c r="U58">
        <v>0</v>
      </c>
      <c r="W58">
        <v>0</v>
      </c>
      <c r="X58">
        <v>0</v>
      </c>
      <c r="Y58">
        <v>0</v>
      </c>
    </row>
    <row r="59" spans="1:26" x14ac:dyDescent="0.45">
      <c r="A59" t="s">
        <v>118</v>
      </c>
      <c r="B59" t="s">
        <v>26</v>
      </c>
      <c r="C59" t="s">
        <v>50</v>
      </c>
      <c r="D59" t="s">
        <v>51</v>
      </c>
      <c r="E59">
        <v>2016</v>
      </c>
      <c r="F59">
        <v>2041</v>
      </c>
      <c r="G59">
        <v>50</v>
      </c>
      <c r="H59">
        <v>1</v>
      </c>
      <c r="J59">
        <v>0</v>
      </c>
      <c r="K59">
        <v>1</v>
      </c>
      <c r="L59">
        <v>1</v>
      </c>
      <c r="M59">
        <v>0</v>
      </c>
      <c r="N59">
        <v>0.8</v>
      </c>
      <c r="Q59">
        <v>0</v>
      </c>
      <c r="R59">
        <v>1.865</v>
      </c>
      <c r="S59">
        <v>30</v>
      </c>
      <c r="T59">
        <v>100</v>
      </c>
      <c r="U59">
        <v>0</v>
      </c>
      <c r="W59">
        <v>0</v>
      </c>
      <c r="X59">
        <v>0</v>
      </c>
      <c r="Y59">
        <v>0</v>
      </c>
    </row>
    <row r="60" spans="1:26" x14ac:dyDescent="0.45">
      <c r="A60" t="s">
        <v>119</v>
      </c>
      <c r="B60" t="s">
        <v>26</v>
      </c>
      <c r="C60" t="s">
        <v>50</v>
      </c>
      <c r="D60" t="s">
        <v>51</v>
      </c>
      <c r="E60">
        <v>2019</v>
      </c>
      <c r="F60">
        <v>2044</v>
      </c>
      <c r="G60">
        <v>100</v>
      </c>
      <c r="H60">
        <v>1</v>
      </c>
      <c r="J60">
        <v>0</v>
      </c>
      <c r="K60">
        <v>1</v>
      </c>
      <c r="L60">
        <v>1</v>
      </c>
      <c r="M60">
        <v>0</v>
      </c>
      <c r="N60">
        <v>0.8</v>
      </c>
      <c r="Q60">
        <v>0</v>
      </c>
      <c r="R60">
        <v>1.865</v>
      </c>
      <c r="S60">
        <v>30</v>
      </c>
      <c r="T60">
        <v>100</v>
      </c>
      <c r="U60">
        <v>0</v>
      </c>
      <c r="W60">
        <v>0</v>
      </c>
      <c r="X60">
        <v>0</v>
      </c>
      <c r="Y60">
        <v>0</v>
      </c>
    </row>
    <row r="61" spans="1:26" x14ac:dyDescent="0.45">
      <c r="A61" t="s">
        <v>120</v>
      </c>
      <c r="B61" t="s">
        <v>26</v>
      </c>
      <c r="C61" t="s">
        <v>50</v>
      </c>
      <c r="D61" t="s">
        <v>51</v>
      </c>
      <c r="E61">
        <v>2017</v>
      </c>
      <c r="F61">
        <v>2042</v>
      </c>
      <c r="G61">
        <v>100</v>
      </c>
      <c r="H61">
        <v>1</v>
      </c>
      <c r="J61">
        <v>0</v>
      </c>
      <c r="K61">
        <v>1</v>
      </c>
      <c r="L61">
        <v>1</v>
      </c>
      <c r="M61">
        <v>0</v>
      </c>
      <c r="N61">
        <v>0.8</v>
      </c>
      <c r="Q61">
        <v>0</v>
      </c>
      <c r="R61">
        <v>1.865</v>
      </c>
      <c r="S61">
        <v>30</v>
      </c>
      <c r="T61">
        <v>100</v>
      </c>
      <c r="U61">
        <v>0</v>
      </c>
      <c r="W61">
        <v>0</v>
      </c>
      <c r="X61">
        <v>0</v>
      </c>
      <c r="Y61">
        <v>0</v>
      </c>
    </row>
    <row r="62" spans="1:26" x14ac:dyDescent="0.45">
      <c r="A62" t="s">
        <v>121</v>
      </c>
      <c r="B62" t="s">
        <v>26</v>
      </c>
      <c r="C62" t="s">
        <v>37</v>
      </c>
      <c r="D62" t="s">
        <v>38</v>
      </c>
      <c r="E62">
        <v>1985</v>
      </c>
      <c r="F62">
        <v>2060</v>
      </c>
      <c r="G62">
        <v>42</v>
      </c>
      <c r="H62">
        <v>1</v>
      </c>
      <c r="N62">
        <v>0.185</v>
      </c>
      <c r="Q62">
        <v>0</v>
      </c>
      <c r="R62">
        <v>0</v>
      </c>
      <c r="S62">
        <v>50</v>
      </c>
      <c r="U62">
        <v>0</v>
      </c>
      <c r="W62">
        <v>0</v>
      </c>
      <c r="X62">
        <v>0</v>
      </c>
      <c r="Y62">
        <v>0</v>
      </c>
      <c r="Z62">
        <v>0</v>
      </c>
    </row>
    <row r="63" spans="1:26" x14ac:dyDescent="0.45">
      <c r="A63" t="s">
        <v>122</v>
      </c>
      <c r="B63" t="s">
        <v>70</v>
      </c>
      <c r="C63" t="s">
        <v>37</v>
      </c>
      <c r="D63" t="s">
        <v>38</v>
      </c>
      <c r="E63">
        <v>2037</v>
      </c>
      <c r="F63">
        <v>2112</v>
      </c>
      <c r="G63">
        <v>600</v>
      </c>
      <c r="H63">
        <v>3</v>
      </c>
      <c r="N63">
        <v>0.27807048400000001</v>
      </c>
      <c r="R63">
        <v>3.12</v>
      </c>
      <c r="S63">
        <v>50</v>
      </c>
      <c r="T63">
        <v>600</v>
      </c>
      <c r="U63">
        <v>0</v>
      </c>
      <c r="W63">
        <v>0</v>
      </c>
      <c r="X63">
        <v>0</v>
      </c>
      <c r="Y63">
        <v>0</v>
      </c>
      <c r="Z63">
        <v>0</v>
      </c>
    </row>
    <row r="64" spans="1:26" x14ac:dyDescent="0.45">
      <c r="A64" t="s">
        <v>123</v>
      </c>
      <c r="B64" t="s">
        <v>30</v>
      </c>
      <c r="C64" t="s">
        <v>31</v>
      </c>
      <c r="D64" t="s">
        <v>32</v>
      </c>
      <c r="E64">
        <v>2023</v>
      </c>
      <c r="F64">
        <v>2073</v>
      </c>
      <c r="G64">
        <v>600</v>
      </c>
      <c r="H64">
        <v>1</v>
      </c>
      <c r="J64">
        <v>10</v>
      </c>
      <c r="K64">
        <v>0.33</v>
      </c>
      <c r="L64">
        <v>0.33</v>
      </c>
      <c r="R64">
        <v>0</v>
      </c>
      <c r="T64">
        <v>0</v>
      </c>
      <c r="U64">
        <v>0</v>
      </c>
      <c r="W64">
        <v>0</v>
      </c>
      <c r="X64">
        <v>0.05</v>
      </c>
      <c r="Y64">
        <v>0</v>
      </c>
      <c r="Z64">
        <v>300</v>
      </c>
    </row>
    <row r="65" spans="1:26" x14ac:dyDescent="0.45">
      <c r="A65" t="s">
        <v>124</v>
      </c>
      <c r="B65" t="s">
        <v>26</v>
      </c>
      <c r="C65" t="s">
        <v>71</v>
      </c>
      <c r="D65" t="s">
        <v>38</v>
      </c>
      <c r="E65">
        <v>2020</v>
      </c>
      <c r="F65">
        <v>2090</v>
      </c>
      <c r="G65">
        <v>2.1</v>
      </c>
      <c r="H65">
        <v>1</v>
      </c>
      <c r="N65">
        <v>0.185</v>
      </c>
      <c r="Q65">
        <v>0</v>
      </c>
      <c r="S65">
        <v>50</v>
      </c>
      <c r="U65">
        <v>0</v>
      </c>
      <c r="W65">
        <v>0</v>
      </c>
      <c r="X65">
        <v>0</v>
      </c>
      <c r="Y65">
        <v>0</v>
      </c>
      <c r="Z65">
        <v>0</v>
      </c>
    </row>
    <row r="66" spans="1:26" x14ac:dyDescent="0.45">
      <c r="A66" t="s">
        <v>125</v>
      </c>
      <c r="B66" t="s">
        <v>26</v>
      </c>
      <c r="C66" t="s">
        <v>71</v>
      </c>
      <c r="D66" t="s">
        <v>38</v>
      </c>
      <c r="E66">
        <v>2020</v>
      </c>
      <c r="F66">
        <v>2090</v>
      </c>
      <c r="G66">
        <v>4.3</v>
      </c>
      <c r="H66">
        <v>1</v>
      </c>
      <c r="N66">
        <v>0.185</v>
      </c>
      <c r="Q66">
        <v>0</v>
      </c>
      <c r="R66">
        <v>0</v>
      </c>
      <c r="S66">
        <v>50</v>
      </c>
      <c r="U66">
        <v>0</v>
      </c>
      <c r="W66">
        <v>0</v>
      </c>
      <c r="X66">
        <v>0</v>
      </c>
      <c r="Y66">
        <v>0</v>
      </c>
      <c r="Z66">
        <v>0</v>
      </c>
    </row>
    <row r="67" spans="1:26" x14ac:dyDescent="0.45">
      <c r="A67" t="s">
        <v>126</v>
      </c>
      <c r="B67" t="s">
        <v>26</v>
      </c>
      <c r="C67" t="s">
        <v>71</v>
      </c>
      <c r="D67" t="s">
        <v>38</v>
      </c>
      <c r="E67">
        <v>2018</v>
      </c>
      <c r="F67">
        <v>2088</v>
      </c>
      <c r="G67">
        <v>4.3</v>
      </c>
      <c r="H67">
        <v>1</v>
      </c>
      <c r="N67">
        <v>0.185</v>
      </c>
      <c r="Q67">
        <v>0</v>
      </c>
      <c r="R67">
        <v>0</v>
      </c>
      <c r="S67">
        <v>50</v>
      </c>
      <c r="U67">
        <v>0</v>
      </c>
      <c r="W67">
        <v>0</v>
      </c>
      <c r="X67">
        <v>0</v>
      </c>
      <c r="Y67">
        <v>0</v>
      </c>
      <c r="Z67">
        <v>0</v>
      </c>
    </row>
    <row r="68" spans="1:26" x14ac:dyDescent="0.45">
      <c r="A68" t="s">
        <v>127</v>
      </c>
      <c r="B68" t="s">
        <v>26</v>
      </c>
      <c r="C68" t="s">
        <v>71</v>
      </c>
      <c r="D68" t="s">
        <v>38</v>
      </c>
      <c r="E68">
        <v>2015</v>
      </c>
      <c r="F68">
        <v>2060</v>
      </c>
      <c r="G68">
        <v>10</v>
      </c>
      <c r="H68">
        <v>1</v>
      </c>
      <c r="N68">
        <v>0.185</v>
      </c>
      <c r="Q68">
        <v>0</v>
      </c>
      <c r="R68">
        <v>0</v>
      </c>
      <c r="S68">
        <v>50</v>
      </c>
      <c r="U68">
        <v>0</v>
      </c>
      <c r="W68">
        <v>0</v>
      </c>
      <c r="X68">
        <v>0</v>
      </c>
      <c r="Y68">
        <v>0</v>
      </c>
      <c r="Z68">
        <v>0</v>
      </c>
    </row>
    <row r="69" spans="1:26" x14ac:dyDescent="0.45">
      <c r="A69" t="s">
        <v>128</v>
      </c>
      <c r="B69" t="s">
        <v>30</v>
      </c>
      <c r="C69" t="s">
        <v>31</v>
      </c>
      <c r="D69" t="s">
        <v>32</v>
      </c>
      <c r="E69">
        <v>1987</v>
      </c>
      <c r="F69">
        <v>2037</v>
      </c>
      <c r="G69">
        <v>600</v>
      </c>
      <c r="H69">
        <v>1</v>
      </c>
      <c r="J69">
        <v>13.6</v>
      </c>
      <c r="K69">
        <v>0.33</v>
      </c>
      <c r="L69">
        <v>0.33</v>
      </c>
      <c r="R69">
        <v>0</v>
      </c>
      <c r="U69">
        <v>0</v>
      </c>
      <c r="W69">
        <v>0</v>
      </c>
      <c r="X69">
        <v>0.1</v>
      </c>
      <c r="Y69">
        <v>0</v>
      </c>
      <c r="Z69">
        <v>347</v>
      </c>
    </row>
    <row r="70" spans="1:26" x14ac:dyDescent="0.45">
      <c r="A70" t="s">
        <v>129</v>
      </c>
      <c r="B70" t="s">
        <v>76</v>
      </c>
      <c r="C70" t="s">
        <v>53</v>
      </c>
      <c r="D70" t="s">
        <v>44</v>
      </c>
      <c r="E70">
        <v>2017</v>
      </c>
      <c r="F70">
        <v>2067</v>
      </c>
      <c r="G70">
        <v>40</v>
      </c>
      <c r="H70">
        <v>1</v>
      </c>
      <c r="J70">
        <v>10.41544727</v>
      </c>
      <c r="K70">
        <v>0.3</v>
      </c>
      <c r="L70">
        <v>0.3</v>
      </c>
      <c r="R70">
        <v>0</v>
      </c>
      <c r="T70">
        <v>0</v>
      </c>
      <c r="U70">
        <v>0</v>
      </c>
      <c r="V70">
        <v>7</v>
      </c>
      <c r="W70">
        <v>11.115447270000001</v>
      </c>
      <c r="X70">
        <v>0.5</v>
      </c>
      <c r="Y70">
        <v>0</v>
      </c>
    </row>
    <row r="71" spans="1:26" x14ac:dyDescent="0.45">
      <c r="A71" t="s">
        <v>130</v>
      </c>
      <c r="B71" t="s">
        <v>26</v>
      </c>
      <c r="C71" t="s">
        <v>66</v>
      </c>
      <c r="D71" t="s">
        <v>67</v>
      </c>
      <c r="E71">
        <v>2017</v>
      </c>
      <c r="F71">
        <v>2060</v>
      </c>
      <c r="G71">
        <v>2673.1</v>
      </c>
      <c r="H71">
        <v>1</v>
      </c>
      <c r="J71">
        <v>0</v>
      </c>
      <c r="R71">
        <v>0</v>
      </c>
      <c r="U71">
        <v>0</v>
      </c>
      <c r="W71">
        <v>0</v>
      </c>
      <c r="X71">
        <v>0</v>
      </c>
      <c r="Y71">
        <v>1</v>
      </c>
      <c r="Z71">
        <v>0</v>
      </c>
    </row>
    <row r="72" spans="1:26" x14ac:dyDescent="0.45">
      <c r="A72" t="s">
        <v>131</v>
      </c>
      <c r="B72" t="s">
        <v>33</v>
      </c>
      <c r="C72" t="s">
        <v>31</v>
      </c>
      <c r="D72" t="s">
        <v>40</v>
      </c>
      <c r="E72">
        <v>2032</v>
      </c>
      <c r="F72">
        <v>2062</v>
      </c>
      <c r="G72">
        <v>28</v>
      </c>
      <c r="H72">
        <v>3</v>
      </c>
      <c r="J72">
        <v>10</v>
      </c>
      <c r="K72">
        <v>0.9</v>
      </c>
      <c r="L72">
        <v>0.9</v>
      </c>
      <c r="R72">
        <v>1.5</v>
      </c>
      <c r="T72">
        <v>28</v>
      </c>
      <c r="U72">
        <v>0</v>
      </c>
      <c r="W72">
        <v>0</v>
      </c>
      <c r="X72">
        <v>0</v>
      </c>
      <c r="Y72">
        <v>0</v>
      </c>
      <c r="Z72">
        <v>0</v>
      </c>
    </row>
    <row r="73" spans="1:26" x14ac:dyDescent="0.45">
      <c r="A73" t="s">
        <v>132</v>
      </c>
      <c r="B73" t="s">
        <v>102</v>
      </c>
      <c r="C73" t="s">
        <v>27</v>
      </c>
      <c r="D73" t="s">
        <v>28</v>
      </c>
      <c r="E73">
        <v>2000</v>
      </c>
      <c r="F73">
        <v>2050</v>
      </c>
      <c r="G73">
        <v>9</v>
      </c>
      <c r="H73">
        <v>1</v>
      </c>
      <c r="J73">
        <v>11.733974460000001</v>
      </c>
      <c r="R73">
        <v>0</v>
      </c>
      <c r="U73">
        <v>0</v>
      </c>
      <c r="W73">
        <v>0</v>
      </c>
      <c r="X73">
        <v>0</v>
      </c>
      <c r="Y73">
        <v>0</v>
      </c>
      <c r="Z73">
        <v>0</v>
      </c>
    </row>
    <row r="74" spans="1:26" x14ac:dyDescent="0.45">
      <c r="A74" t="s">
        <v>134</v>
      </c>
      <c r="B74" t="s">
        <v>33</v>
      </c>
      <c r="C74" t="s">
        <v>66</v>
      </c>
      <c r="D74" t="s">
        <v>67</v>
      </c>
      <c r="E74">
        <v>2022</v>
      </c>
      <c r="F74">
        <v>2060</v>
      </c>
      <c r="G74">
        <v>20</v>
      </c>
      <c r="H74">
        <v>1</v>
      </c>
      <c r="J74">
        <v>0</v>
      </c>
      <c r="R74">
        <v>0</v>
      </c>
      <c r="T74">
        <v>0</v>
      </c>
      <c r="U74">
        <v>0</v>
      </c>
      <c r="W74">
        <v>0</v>
      </c>
      <c r="X74">
        <v>0</v>
      </c>
      <c r="Y74">
        <v>1</v>
      </c>
      <c r="Z74">
        <v>0</v>
      </c>
    </row>
    <row r="75" spans="1:26" x14ac:dyDescent="0.45">
      <c r="A75" t="s">
        <v>135</v>
      </c>
      <c r="B75" t="s">
        <v>26</v>
      </c>
      <c r="C75" t="s">
        <v>96</v>
      </c>
      <c r="D75" t="s">
        <v>97</v>
      </c>
      <c r="E75">
        <v>2015</v>
      </c>
      <c r="F75">
        <v>2045</v>
      </c>
      <c r="G75">
        <v>3644</v>
      </c>
      <c r="H75">
        <v>1</v>
      </c>
      <c r="U75">
        <v>0</v>
      </c>
      <c r="W75">
        <v>0</v>
      </c>
      <c r="X75">
        <v>0</v>
      </c>
      <c r="Y75">
        <v>1</v>
      </c>
      <c r="Z75">
        <v>0</v>
      </c>
    </row>
    <row r="76" spans="1:26" x14ac:dyDescent="0.45">
      <c r="A76" t="s">
        <v>136</v>
      </c>
      <c r="B76" t="s">
        <v>26</v>
      </c>
      <c r="C76" t="s">
        <v>37</v>
      </c>
      <c r="D76" t="s">
        <v>38</v>
      </c>
      <c r="E76">
        <v>1971</v>
      </c>
      <c r="F76">
        <v>2060</v>
      </c>
      <c r="G76">
        <v>360</v>
      </c>
      <c r="H76">
        <v>1</v>
      </c>
      <c r="N76">
        <v>0.185</v>
      </c>
      <c r="Q76">
        <v>0</v>
      </c>
      <c r="R76">
        <v>0</v>
      </c>
      <c r="S76">
        <v>50</v>
      </c>
      <c r="U76">
        <v>0</v>
      </c>
      <c r="W76">
        <v>0</v>
      </c>
      <c r="X76">
        <v>0</v>
      </c>
      <c r="Y76">
        <v>0</v>
      </c>
      <c r="Z76">
        <v>0</v>
      </c>
    </row>
    <row r="77" spans="1:26" x14ac:dyDescent="0.45">
      <c r="A77" t="s">
        <v>137</v>
      </c>
      <c r="B77" t="s">
        <v>102</v>
      </c>
      <c r="C77" t="s">
        <v>66</v>
      </c>
      <c r="D77" t="s">
        <v>67</v>
      </c>
      <c r="E77">
        <v>2021</v>
      </c>
      <c r="F77">
        <v>2051</v>
      </c>
      <c r="G77">
        <v>10</v>
      </c>
      <c r="H77">
        <v>1</v>
      </c>
      <c r="J77">
        <v>0</v>
      </c>
      <c r="R77">
        <v>0</v>
      </c>
      <c r="U77">
        <v>0</v>
      </c>
      <c r="W77">
        <v>0</v>
      </c>
      <c r="X77">
        <v>0</v>
      </c>
      <c r="Y77">
        <v>1</v>
      </c>
      <c r="Z77">
        <v>0</v>
      </c>
    </row>
    <row r="78" spans="1:26" x14ac:dyDescent="0.45">
      <c r="A78" t="s">
        <v>138</v>
      </c>
      <c r="B78" t="s">
        <v>30</v>
      </c>
      <c r="C78" t="s">
        <v>31</v>
      </c>
      <c r="D78" t="s">
        <v>32</v>
      </c>
      <c r="E78">
        <v>2020</v>
      </c>
      <c r="F78">
        <v>2070</v>
      </c>
      <c r="G78">
        <v>320</v>
      </c>
      <c r="H78">
        <v>1</v>
      </c>
      <c r="J78">
        <v>10</v>
      </c>
      <c r="K78">
        <v>0.33</v>
      </c>
      <c r="L78">
        <v>0.33</v>
      </c>
      <c r="R78">
        <v>0</v>
      </c>
      <c r="U78">
        <v>0</v>
      </c>
      <c r="W78">
        <v>0</v>
      </c>
      <c r="X78">
        <v>0.1</v>
      </c>
      <c r="Y78">
        <v>0</v>
      </c>
      <c r="Z78">
        <v>320</v>
      </c>
    </row>
    <row r="79" spans="1:26" x14ac:dyDescent="0.45">
      <c r="A79" t="s">
        <v>139</v>
      </c>
      <c r="B79" t="s">
        <v>30</v>
      </c>
      <c r="C79" t="s">
        <v>37</v>
      </c>
      <c r="D79" t="s">
        <v>38</v>
      </c>
      <c r="E79">
        <v>1962</v>
      </c>
      <c r="F79">
        <v>2060</v>
      </c>
      <c r="G79">
        <v>1050</v>
      </c>
      <c r="H79">
        <v>1</v>
      </c>
      <c r="N79">
        <v>0.27534246600000001</v>
      </c>
      <c r="Q79">
        <v>0</v>
      </c>
      <c r="R79">
        <v>0</v>
      </c>
      <c r="S79">
        <v>50</v>
      </c>
      <c r="U79">
        <v>0</v>
      </c>
      <c r="W79">
        <v>0</v>
      </c>
      <c r="X79">
        <v>0</v>
      </c>
      <c r="Y79">
        <v>0</v>
      </c>
      <c r="Z79">
        <v>0</v>
      </c>
    </row>
    <row r="80" spans="1:26" x14ac:dyDescent="0.45">
      <c r="A80" t="s">
        <v>140</v>
      </c>
      <c r="B80" t="s">
        <v>26</v>
      </c>
      <c r="C80" t="s">
        <v>53</v>
      </c>
      <c r="D80" t="s">
        <v>28</v>
      </c>
      <c r="E80">
        <v>2007</v>
      </c>
      <c r="F80">
        <v>2057</v>
      </c>
      <c r="G80">
        <v>740</v>
      </c>
      <c r="H80">
        <v>1</v>
      </c>
      <c r="J80">
        <v>10.41544727</v>
      </c>
      <c r="K80">
        <v>0.3</v>
      </c>
      <c r="L80">
        <v>0.3</v>
      </c>
      <c r="R80">
        <v>0</v>
      </c>
      <c r="U80">
        <v>0</v>
      </c>
      <c r="W80">
        <v>0</v>
      </c>
      <c r="X80">
        <v>0</v>
      </c>
      <c r="Y80">
        <v>0</v>
      </c>
      <c r="Z80">
        <v>0</v>
      </c>
    </row>
    <row r="81" spans="1:26" x14ac:dyDescent="0.45">
      <c r="A81" t="s">
        <v>141</v>
      </c>
      <c r="B81" t="s">
        <v>30</v>
      </c>
      <c r="C81" t="s">
        <v>31</v>
      </c>
      <c r="D81" t="s">
        <v>32</v>
      </c>
      <c r="E81">
        <v>2022</v>
      </c>
      <c r="F81">
        <v>2060</v>
      </c>
      <c r="G81">
        <v>50</v>
      </c>
      <c r="H81">
        <v>1</v>
      </c>
      <c r="J81">
        <v>10</v>
      </c>
      <c r="K81">
        <v>0.33</v>
      </c>
      <c r="L81">
        <v>0.33</v>
      </c>
      <c r="Q81">
        <v>0</v>
      </c>
      <c r="R81">
        <v>0</v>
      </c>
      <c r="S81">
        <v>50</v>
      </c>
      <c r="T81">
        <v>0</v>
      </c>
      <c r="U81">
        <v>0</v>
      </c>
      <c r="W81">
        <v>0</v>
      </c>
      <c r="X81">
        <v>0</v>
      </c>
      <c r="Y81">
        <v>0</v>
      </c>
      <c r="Z81">
        <v>0</v>
      </c>
    </row>
    <row r="82" spans="1:26" x14ac:dyDescent="0.45">
      <c r="A82" t="s">
        <v>142</v>
      </c>
      <c r="B82" t="s">
        <v>30</v>
      </c>
      <c r="C82" t="s">
        <v>66</v>
      </c>
      <c r="D82" t="s">
        <v>67</v>
      </c>
      <c r="E82">
        <v>2026</v>
      </c>
      <c r="F82">
        <v>2060</v>
      </c>
      <c r="G82">
        <v>100</v>
      </c>
      <c r="H82">
        <v>2</v>
      </c>
      <c r="R82">
        <v>0.8</v>
      </c>
      <c r="T82">
        <v>100</v>
      </c>
      <c r="Y82">
        <v>1</v>
      </c>
    </row>
    <row r="83" spans="1:26" x14ac:dyDescent="0.45">
      <c r="A83" t="s">
        <v>143</v>
      </c>
      <c r="B83" t="s">
        <v>30</v>
      </c>
      <c r="C83" t="s">
        <v>66</v>
      </c>
      <c r="D83" t="s">
        <v>67</v>
      </c>
      <c r="E83">
        <v>2027</v>
      </c>
      <c r="F83">
        <v>2057</v>
      </c>
      <c r="G83">
        <v>20</v>
      </c>
      <c r="H83">
        <v>2</v>
      </c>
      <c r="R83">
        <v>0.8</v>
      </c>
      <c r="T83">
        <v>150</v>
      </c>
      <c r="Y83">
        <v>1</v>
      </c>
    </row>
    <row r="84" spans="1:26" x14ac:dyDescent="0.45">
      <c r="A84" t="s">
        <v>144</v>
      </c>
      <c r="B84" t="s">
        <v>30</v>
      </c>
      <c r="C84" t="s">
        <v>66</v>
      </c>
      <c r="D84" t="s">
        <v>67</v>
      </c>
      <c r="E84">
        <v>2026</v>
      </c>
      <c r="F84">
        <v>2051</v>
      </c>
      <c r="G84">
        <v>50</v>
      </c>
      <c r="H84">
        <v>2</v>
      </c>
      <c r="R84">
        <v>0.8</v>
      </c>
      <c r="T84">
        <v>150</v>
      </c>
      <c r="Y84">
        <v>1</v>
      </c>
    </row>
    <row r="85" spans="1:26" x14ac:dyDescent="0.45">
      <c r="A85" t="s">
        <v>145</v>
      </c>
      <c r="B85" t="s">
        <v>30</v>
      </c>
      <c r="C85" t="s">
        <v>66</v>
      </c>
      <c r="D85" t="s">
        <v>67</v>
      </c>
      <c r="E85">
        <v>2028</v>
      </c>
      <c r="F85">
        <v>2060</v>
      </c>
      <c r="G85">
        <v>80</v>
      </c>
      <c r="H85">
        <v>2</v>
      </c>
      <c r="R85">
        <v>0.8</v>
      </c>
      <c r="T85">
        <v>150</v>
      </c>
      <c r="Y85">
        <v>1</v>
      </c>
    </row>
    <row r="86" spans="1:26" x14ac:dyDescent="0.45">
      <c r="A86" t="s">
        <v>146</v>
      </c>
      <c r="B86" t="s">
        <v>70</v>
      </c>
      <c r="C86" t="s">
        <v>27</v>
      </c>
      <c r="D86" t="s">
        <v>28</v>
      </c>
      <c r="E86">
        <v>2020</v>
      </c>
      <c r="F86">
        <v>2055</v>
      </c>
      <c r="G86">
        <v>110</v>
      </c>
      <c r="H86">
        <v>1</v>
      </c>
      <c r="J86">
        <v>9.7489748610000007</v>
      </c>
      <c r="R86">
        <v>0</v>
      </c>
      <c r="T86">
        <v>0</v>
      </c>
      <c r="U86">
        <v>0</v>
      </c>
      <c r="W86">
        <v>0</v>
      </c>
      <c r="X86">
        <v>0</v>
      </c>
      <c r="Y86">
        <v>0</v>
      </c>
      <c r="Z86">
        <v>0</v>
      </c>
    </row>
    <row r="87" spans="1:26" x14ac:dyDescent="0.45">
      <c r="A87" t="s">
        <v>147</v>
      </c>
      <c r="B87" t="s">
        <v>63</v>
      </c>
      <c r="C87" t="s">
        <v>71</v>
      </c>
      <c r="D87" t="s">
        <v>38</v>
      </c>
      <c r="E87">
        <v>1954</v>
      </c>
      <c r="F87">
        <v>2060</v>
      </c>
      <c r="G87">
        <v>3</v>
      </c>
      <c r="H87">
        <v>1</v>
      </c>
      <c r="N87">
        <v>0.27</v>
      </c>
      <c r="Q87">
        <v>0</v>
      </c>
      <c r="R87">
        <v>0</v>
      </c>
      <c r="S87">
        <v>50</v>
      </c>
      <c r="U87">
        <v>0</v>
      </c>
      <c r="W87">
        <v>0</v>
      </c>
      <c r="X87">
        <v>0</v>
      </c>
      <c r="Y87">
        <v>0</v>
      </c>
      <c r="Z87">
        <v>0</v>
      </c>
    </row>
    <row r="88" spans="1:26" x14ac:dyDescent="0.45">
      <c r="A88" t="s">
        <v>148</v>
      </c>
      <c r="B88" t="s">
        <v>70</v>
      </c>
      <c r="C88" t="s">
        <v>37</v>
      </c>
      <c r="D88" t="s">
        <v>38</v>
      </c>
      <c r="E88">
        <v>2016</v>
      </c>
      <c r="F88">
        <v>2060</v>
      </c>
      <c r="G88">
        <v>3501</v>
      </c>
      <c r="H88">
        <v>1</v>
      </c>
      <c r="N88">
        <v>0.290144597</v>
      </c>
      <c r="Q88">
        <v>0</v>
      </c>
      <c r="R88">
        <v>0</v>
      </c>
      <c r="S88">
        <v>50</v>
      </c>
      <c r="U88">
        <v>0</v>
      </c>
      <c r="W88">
        <v>0</v>
      </c>
      <c r="X88">
        <v>0</v>
      </c>
      <c r="Y88">
        <v>0</v>
      </c>
      <c r="Z88">
        <v>0</v>
      </c>
    </row>
    <row r="89" spans="1:26" x14ac:dyDescent="0.45">
      <c r="A89" t="s">
        <v>149</v>
      </c>
      <c r="B89" t="s">
        <v>33</v>
      </c>
      <c r="C89" t="s">
        <v>27</v>
      </c>
      <c r="D89" t="s">
        <v>34</v>
      </c>
      <c r="E89">
        <v>2000</v>
      </c>
      <c r="F89">
        <v>2050</v>
      </c>
      <c r="G89">
        <v>15</v>
      </c>
      <c r="H89">
        <v>1</v>
      </c>
      <c r="J89">
        <v>13.62</v>
      </c>
      <c r="K89">
        <v>1</v>
      </c>
      <c r="L89">
        <v>1</v>
      </c>
      <c r="N89">
        <v>0.2</v>
      </c>
      <c r="Q89">
        <v>0</v>
      </c>
      <c r="R89">
        <v>0</v>
      </c>
      <c r="T89">
        <v>0</v>
      </c>
      <c r="U89">
        <v>0</v>
      </c>
      <c r="W89">
        <v>0</v>
      </c>
      <c r="X89">
        <v>0</v>
      </c>
      <c r="Y89">
        <v>0</v>
      </c>
      <c r="Z89">
        <v>0</v>
      </c>
    </row>
    <row r="90" spans="1:26" x14ac:dyDescent="0.45">
      <c r="A90" t="s">
        <v>150</v>
      </c>
      <c r="B90" t="s">
        <v>30</v>
      </c>
      <c r="C90" t="s">
        <v>37</v>
      </c>
      <c r="D90" t="s">
        <v>38</v>
      </c>
      <c r="E90">
        <v>2035</v>
      </c>
      <c r="F90">
        <v>2112</v>
      </c>
      <c r="G90">
        <v>1200</v>
      </c>
      <c r="H90">
        <v>3</v>
      </c>
      <c r="N90">
        <v>0.27807048400000001</v>
      </c>
      <c r="R90">
        <v>3.12</v>
      </c>
      <c r="S90">
        <v>50</v>
      </c>
      <c r="T90">
        <v>1200</v>
      </c>
      <c r="U90">
        <v>0</v>
      </c>
      <c r="W90">
        <v>0</v>
      </c>
      <c r="X90">
        <v>0</v>
      </c>
      <c r="Y90">
        <v>0</v>
      </c>
      <c r="Z90">
        <v>0</v>
      </c>
    </row>
    <row r="91" spans="1:26" x14ac:dyDescent="0.45">
      <c r="A91" t="s">
        <v>151</v>
      </c>
      <c r="B91" t="s">
        <v>26</v>
      </c>
      <c r="C91" t="s">
        <v>53</v>
      </c>
      <c r="D91" t="s">
        <v>44</v>
      </c>
      <c r="E91">
        <v>2000</v>
      </c>
      <c r="F91">
        <v>2050</v>
      </c>
      <c r="G91">
        <v>18</v>
      </c>
      <c r="H91">
        <v>1</v>
      </c>
      <c r="J91">
        <v>10.41544727</v>
      </c>
      <c r="K91">
        <v>0.3</v>
      </c>
      <c r="L91">
        <v>0.3</v>
      </c>
      <c r="R91">
        <v>0</v>
      </c>
      <c r="U91">
        <v>0</v>
      </c>
      <c r="V91">
        <v>7</v>
      </c>
      <c r="W91">
        <v>10.7</v>
      </c>
      <c r="X91">
        <v>0.2</v>
      </c>
      <c r="Y91">
        <v>0</v>
      </c>
      <c r="Z91">
        <v>18</v>
      </c>
    </row>
    <row r="92" spans="1:26" x14ac:dyDescent="0.45">
      <c r="A92" t="s">
        <v>152</v>
      </c>
      <c r="B92" t="s">
        <v>48</v>
      </c>
      <c r="C92" t="s">
        <v>66</v>
      </c>
      <c r="D92" t="s">
        <v>67</v>
      </c>
      <c r="E92">
        <v>2027</v>
      </c>
      <c r="F92">
        <v>2060</v>
      </c>
      <c r="G92">
        <v>25</v>
      </c>
      <c r="H92">
        <v>2</v>
      </c>
      <c r="R92">
        <v>0.8</v>
      </c>
      <c r="T92">
        <v>25</v>
      </c>
      <c r="Y92">
        <v>1</v>
      </c>
    </row>
    <row r="93" spans="1:26" x14ac:dyDescent="0.45">
      <c r="A93" t="s">
        <v>153</v>
      </c>
      <c r="B93" t="s">
        <v>26</v>
      </c>
      <c r="C93" t="s">
        <v>31</v>
      </c>
      <c r="D93" t="s">
        <v>32</v>
      </c>
      <c r="E93">
        <v>1964</v>
      </c>
      <c r="F93">
        <v>2025</v>
      </c>
      <c r="G93">
        <v>389</v>
      </c>
      <c r="H93">
        <v>1</v>
      </c>
      <c r="I93">
        <v>0.3</v>
      </c>
      <c r="J93">
        <v>14.3</v>
      </c>
      <c r="K93">
        <v>0.33</v>
      </c>
      <c r="L93">
        <v>0.33</v>
      </c>
      <c r="R93">
        <v>0</v>
      </c>
      <c r="U93">
        <v>0</v>
      </c>
      <c r="W93">
        <v>0</v>
      </c>
      <c r="X93">
        <v>0.05</v>
      </c>
      <c r="Y93">
        <v>0</v>
      </c>
      <c r="Z93">
        <v>420</v>
      </c>
    </row>
    <row r="94" spans="1:26" x14ac:dyDescent="0.45">
      <c r="A94" t="s">
        <v>154</v>
      </c>
      <c r="B94" t="s">
        <v>63</v>
      </c>
      <c r="C94" t="s">
        <v>71</v>
      </c>
      <c r="D94" t="s">
        <v>38</v>
      </c>
      <c r="E94">
        <v>1950</v>
      </c>
      <c r="F94">
        <v>2060</v>
      </c>
      <c r="G94">
        <v>42</v>
      </c>
      <c r="H94">
        <v>1</v>
      </c>
      <c r="N94">
        <v>0.39</v>
      </c>
      <c r="Q94">
        <v>0</v>
      </c>
      <c r="R94">
        <v>0</v>
      </c>
      <c r="S94">
        <v>50</v>
      </c>
      <c r="U94">
        <v>0</v>
      </c>
      <c r="W94">
        <v>0</v>
      </c>
      <c r="X94">
        <v>0</v>
      </c>
      <c r="Y94">
        <v>0</v>
      </c>
      <c r="Z94">
        <v>0</v>
      </c>
    </row>
    <row r="95" spans="1:26" x14ac:dyDescent="0.45">
      <c r="A95" t="s">
        <v>155</v>
      </c>
      <c r="B95" t="s">
        <v>70</v>
      </c>
      <c r="C95" t="s">
        <v>53</v>
      </c>
      <c r="D95" t="s">
        <v>44</v>
      </c>
      <c r="E95">
        <v>2035</v>
      </c>
      <c r="F95">
        <v>2065</v>
      </c>
      <c r="G95">
        <v>400</v>
      </c>
      <c r="H95">
        <v>3</v>
      </c>
      <c r="K95">
        <v>0.3</v>
      </c>
      <c r="L95">
        <v>0.3</v>
      </c>
      <c r="T95">
        <v>200</v>
      </c>
    </row>
    <row r="96" spans="1:26" x14ac:dyDescent="0.45">
      <c r="A96" t="s">
        <v>156</v>
      </c>
      <c r="B96" t="s">
        <v>26</v>
      </c>
      <c r="C96" t="s">
        <v>31</v>
      </c>
      <c r="D96" t="s">
        <v>32</v>
      </c>
      <c r="E96">
        <v>1985</v>
      </c>
      <c r="F96">
        <v>2042</v>
      </c>
      <c r="G96">
        <v>3869</v>
      </c>
      <c r="H96">
        <v>1</v>
      </c>
      <c r="I96">
        <v>0.3</v>
      </c>
      <c r="J96">
        <v>11.3</v>
      </c>
      <c r="K96">
        <v>0.33</v>
      </c>
      <c r="L96">
        <v>0.33</v>
      </c>
      <c r="R96">
        <v>0</v>
      </c>
      <c r="U96">
        <v>0</v>
      </c>
      <c r="W96">
        <v>0</v>
      </c>
      <c r="X96">
        <v>0.05</v>
      </c>
      <c r="Y96">
        <v>0</v>
      </c>
      <c r="Z96">
        <v>640</v>
      </c>
    </row>
    <row r="97" spans="1:26" x14ac:dyDescent="0.45">
      <c r="A97" t="s">
        <v>157</v>
      </c>
      <c r="B97" t="s">
        <v>26</v>
      </c>
      <c r="C97" t="s">
        <v>158</v>
      </c>
      <c r="D97" t="s">
        <v>159</v>
      </c>
      <c r="E97">
        <v>1985</v>
      </c>
      <c r="F97">
        <v>2045</v>
      </c>
      <c r="G97">
        <v>1860</v>
      </c>
      <c r="H97">
        <v>1</v>
      </c>
      <c r="J97">
        <v>10.53119469</v>
      </c>
      <c r="K97">
        <v>0.1</v>
      </c>
      <c r="L97">
        <v>0.1</v>
      </c>
      <c r="M97">
        <v>0</v>
      </c>
      <c r="N97">
        <v>0</v>
      </c>
      <c r="Q97">
        <v>0</v>
      </c>
      <c r="R97">
        <v>0</v>
      </c>
      <c r="S97">
        <v>50</v>
      </c>
      <c r="U97">
        <v>0</v>
      </c>
      <c r="W97">
        <v>0</v>
      </c>
      <c r="X97">
        <v>0.6</v>
      </c>
      <c r="Y97">
        <v>0</v>
      </c>
      <c r="Z97">
        <v>1800</v>
      </c>
    </row>
    <row r="98" spans="1:26" x14ac:dyDescent="0.45">
      <c r="A98" t="s">
        <v>160</v>
      </c>
      <c r="B98" t="s">
        <v>95</v>
      </c>
      <c r="C98" t="s">
        <v>27</v>
      </c>
      <c r="D98" t="s">
        <v>28</v>
      </c>
      <c r="E98">
        <v>2000</v>
      </c>
      <c r="F98">
        <v>2050</v>
      </c>
      <c r="G98">
        <v>4.8</v>
      </c>
      <c r="H98">
        <v>1</v>
      </c>
      <c r="J98">
        <v>9.9909389970000007</v>
      </c>
      <c r="R98">
        <v>0</v>
      </c>
      <c r="U98">
        <v>0</v>
      </c>
      <c r="W98">
        <v>0</v>
      </c>
      <c r="X98">
        <v>0</v>
      </c>
      <c r="Y98">
        <v>0</v>
      </c>
      <c r="Z98">
        <v>0</v>
      </c>
    </row>
    <row r="99" spans="1:26" x14ac:dyDescent="0.45">
      <c r="A99" t="s">
        <v>161</v>
      </c>
      <c r="B99" t="s">
        <v>26</v>
      </c>
      <c r="C99" t="s">
        <v>31</v>
      </c>
      <c r="D99" t="s">
        <v>32</v>
      </c>
      <c r="E99">
        <v>1979</v>
      </c>
      <c r="F99">
        <v>2032</v>
      </c>
      <c r="G99">
        <v>2850</v>
      </c>
      <c r="H99">
        <v>1</v>
      </c>
      <c r="I99">
        <v>0.3</v>
      </c>
      <c r="J99">
        <v>13.9</v>
      </c>
      <c r="K99">
        <v>0.33</v>
      </c>
      <c r="L99">
        <v>0.33</v>
      </c>
      <c r="R99">
        <v>0</v>
      </c>
      <c r="U99">
        <v>0</v>
      </c>
      <c r="W99">
        <v>0</v>
      </c>
      <c r="X99">
        <v>0.05</v>
      </c>
      <c r="Y99">
        <v>0</v>
      </c>
      <c r="Z99">
        <v>950</v>
      </c>
    </row>
    <row r="100" spans="1:26" x14ac:dyDescent="0.45">
      <c r="A100" t="s">
        <v>162</v>
      </c>
      <c r="B100" t="s">
        <v>26</v>
      </c>
      <c r="C100" t="s">
        <v>31</v>
      </c>
      <c r="D100" t="s">
        <v>32</v>
      </c>
      <c r="E100">
        <v>2020</v>
      </c>
      <c r="F100">
        <v>2070</v>
      </c>
      <c r="G100">
        <v>1440</v>
      </c>
      <c r="H100">
        <v>1</v>
      </c>
      <c r="I100">
        <v>0.3</v>
      </c>
      <c r="J100">
        <v>11.8</v>
      </c>
      <c r="K100">
        <v>0.33</v>
      </c>
      <c r="L100">
        <v>0.33</v>
      </c>
      <c r="R100">
        <v>0</v>
      </c>
      <c r="T100">
        <v>0</v>
      </c>
      <c r="U100">
        <v>0</v>
      </c>
      <c r="W100">
        <v>0</v>
      </c>
      <c r="X100">
        <v>0.05</v>
      </c>
      <c r="Y100">
        <v>0</v>
      </c>
      <c r="Z100">
        <v>800</v>
      </c>
    </row>
    <row r="101" spans="1:26" x14ac:dyDescent="0.45">
      <c r="A101" t="s">
        <v>163</v>
      </c>
      <c r="B101" t="s">
        <v>26</v>
      </c>
      <c r="C101" t="s">
        <v>31</v>
      </c>
      <c r="D101" t="s">
        <v>32</v>
      </c>
      <c r="E101">
        <v>2023</v>
      </c>
      <c r="F101">
        <v>2073</v>
      </c>
      <c r="G101">
        <v>1440</v>
      </c>
      <c r="H101">
        <v>1</v>
      </c>
      <c r="I101">
        <v>0.3</v>
      </c>
      <c r="J101">
        <v>11.8</v>
      </c>
      <c r="K101">
        <v>0.33</v>
      </c>
      <c r="L101">
        <v>0.33</v>
      </c>
      <c r="R101">
        <v>0</v>
      </c>
      <c r="T101">
        <v>0</v>
      </c>
      <c r="U101">
        <v>0</v>
      </c>
      <c r="W101">
        <v>0</v>
      </c>
      <c r="X101">
        <v>0.05</v>
      </c>
      <c r="Y101">
        <v>0</v>
      </c>
      <c r="Z101">
        <v>800</v>
      </c>
    </row>
    <row r="102" spans="1:26" x14ac:dyDescent="0.45">
      <c r="A102" t="s">
        <v>164</v>
      </c>
      <c r="B102" t="s">
        <v>133</v>
      </c>
      <c r="C102" t="s">
        <v>66</v>
      </c>
      <c r="D102" t="s">
        <v>67</v>
      </c>
      <c r="E102">
        <v>2023</v>
      </c>
      <c r="F102">
        <v>2053</v>
      </c>
      <c r="G102">
        <v>28</v>
      </c>
      <c r="H102">
        <v>1</v>
      </c>
      <c r="J102">
        <v>0</v>
      </c>
      <c r="R102">
        <v>0</v>
      </c>
      <c r="U102">
        <v>0</v>
      </c>
      <c r="W102">
        <v>0</v>
      </c>
      <c r="X102">
        <v>0</v>
      </c>
      <c r="Y102">
        <v>1</v>
      </c>
      <c r="Z102">
        <v>0</v>
      </c>
    </row>
    <row r="103" spans="1:26" x14ac:dyDescent="0.45">
      <c r="A103" t="s">
        <v>165</v>
      </c>
      <c r="B103" t="s">
        <v>26</v>
      </c>
      <c r="C103" t="s">
        <v>31</v>
      </c>
      <c r="D103" t="s">
        <v>32</v>
      </c>
      <c r="E103">
        <v>1990</v>
      </c>
      <c r="F103">
        <v>2038</v>
      </c>
      <c r="G103">
        <v>3559</v>
      </c>
      <c r="H103">
        <v>1</v>
      </c>
      <c r="I103">
        <v>0.3</v>
      </c>
      <c r="J103">
        <v>11.06</v>
      </c>
      <c r="K103">
        <v>0.33</v>
      </c>
      <c r="L103">
        <v>0.33</v>
      </c>
      <c r="R103">
        <v>0</v>
      </c>
      <c r="U103">
        <v>0</v>
      </c>
      <c r="W103">
        <v>0</v>
      </c>
      <c r="X103">
        <v>0.05</v>
      </c>
      <c r="Y103">
        <v>0</v>
      </c>
      <c r="Z103">
        <v>593</v>
      </c>
    </row>
    <row r="104" spans="1:26" x14ac:dyDescent="0.45">
      <c r="A104" t="s">
        <v>166</v>
      </c>
      <c r="B104" t="s">
        <v>33</v>
      </c>
      <c r="C104" t="s">
        <v>31</v>
      </c>
      <c r="D104" t="s">
        <v>28</v>
      </c>
      <c r="E104">
        <v>2019</v>
      </c>
      <c r="F104">
        <v>2054</v>
      </c>
      <c r="G104">
        <v>1.1000000000000001</v>
      </c>
      <c r="H104">
        <v>1</v>
      </c>
      <c r="J104">
        <v>11.8</v>
      </c>
      <c r="K104">
        <v>0.33</v>
      </c>
      <c r="L104">
        <v>0.33</v>
      </c>
    </row>
    <row r="105" spans="1:26" x14ac:dyDescent="0.45">
      <c r="A105" t="s">
        <v>167</v>
      </c>
      <c r="B105" t="s">
        <v>33</v>
      </c>
      <c r="C105" t="s">
        <v>53</v>
      </c>
      <c r="D105" t="s">
        <v>34</v>
      </c>
      <c r="E105">
        <v>2000</v>
      </c>
      <c r="F105">
        <v>2050</v>
      </c>
      <c r="G105">
        <v>5</v>
      </c>
      <c r="H105">
        <v>1</v>
      </c>
      <c r="K105">
        <v>0.3</v>
      </c>
      <c r="L105">
        <v>0.3</v>
      </c>
      <c r="Q105">
        <v>0</v>
      </c>
      <c r="R105">
        <v>0</v>
      </c>
      <c r="T105">
        <v>0</v>
      </c>
      <c r="U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45">
      <c r="A106" t="s">
        <v>168</v>
      </c>
      <c r="B106" t="s">
        <v>102</v>
      </c>
      <c r="C106" t="s">
        <v>71</v>
      </c>
      <c r="D106" t="s">
        <v>38</v>
      </c>
      <c r="E106">
        <v>2000</v>
      </c>
      <c r="F106">
        <v>2080</v>
      </c>
      <c r="G106">
        <v>26.6</v>
      </c>
      <c r="H106">
        <v>1</v>
      </c>
      <c r="N106">
        <v>0.1</v>
      </c>
      <c r="Q106">
        <v>0</v>
      </c>
      <c r="R106">
        <v>0</v>
      </c>
      <c r="S106">
        <v>50</v>
      </c>
      <c r="U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45">
      <c r="A107" t="s">
        <v>169</v>
      </c>
      <c r="B107" t="s">
        <v>102</v>
      </c>
      <c r="C107" t="s">
        <v>66</v>
      </c>
      <c r="D107" t="s">
        <v>67</v>
      </c>
      <c r="E107">
        <v>2022</v>
      </c>
      <c r="F107">
        <v>2045</v>
      </c>
      <c r="G107">
        <v>15</v>
      </c>
      <c r="H107">
        <v>1</v>
      </c>
    </row>
    <row r="108" spans="1:26" x14ac:dyDescent="0.45">
      <c r="A108" t="s">
        <v>170</v>
      </c>
      <c r="B108" t="s">
        <v>76</v>
      </c>
      <c r="C108" t="s">
        <v>53</v>
      </c>
      <c r="D108" t="s">
        <v>28</v>
      </c>
      <c r="E108">
        <v>2000</v>
      </c>
      <c r="F108">
        <v>2050</v>
      </c>
      <c r="G108">
        <v>14</v>
      </c>
      <c r="H108">
        <v>1</v>
      </c>
      <c r="J108">
        <v>13.62126767</v>
      </c>
      <c r="K108">
        <v>0.3</v>
      </c>
      <c r="L108">
        <v>0.3</v>
      </c>
      <c r="R108">
        <v>0</v>
      </c>
      <c r="U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45">
      <c r="A109" t="s">
        <v>171</v>
      </c>
      <c r="B109" t="s">
        <v>58</v>
      </c>
      <c r="C109" t="s">
        <v>71</v>
      </c>
      <c r="D109" t="s">
        <v>38</v>
      </c>
      <c r="E109">
        <v>2031</v>
      </c>
      <c r="F109">
        <v>2110</v>
      </c>
      <c r="G109">
        <v>1000</v>
      </c>
      <c r="H109">
        <v>3</v>
      </c>
      <c r="N109">
        <v>0.44</v>
      </c>
      <c r="Q109">
        <v>0</v>
      </c>
      <c r="R109">
        <v>2.8</v>
      </c>
      <c r="T109">
        <v>100</v>
      </c>
    </row>
    <row r="110" spans="1:26" x14ac:dyDescent="0.45">
      <c r="A110" t="s">
        <v>172</v>
      </c>
      <c r="B110" t="s">
        <v>70</v>
      </c>
      <c r="C110" t="s">
        <v>31</v>
      </c>
      <c r="D110" t="s">
        <v>32</v>
      </c>
      <c r="E110">
        <v>2016</v>
      </c>
      <c r="F110">
        <v>2066</v>
      </c>
      <c r="G110">
        <v>300</v>
      </c>
      <c r="H110">
        <v>1</v>
      </c>
      <c r="J110">
        <v>9.2213115929999994</v>
      </c>
      <c r="K110">
        <v>0.33</v>
      </c>
      <c r="L110">
        <v>0.33</v>
      </c>
      <c r="R110">
        <v>0</v>
      </c>
      <c r="U110">
        <v>0</v>
      </c>
      <c r="W110">
        <v>0</v>
      </c>
      <c r="X110">
        <v>0.1</v>
      </c>
      <c r="Y110">
        <v>0</v>
      </c>
      <c r="Z110">
        <v>300</v>
      </c>
    </row>
    <row r="111" spans="1:26" x14ac:dyDescent="0.45">
      <c r="A111" t="s">
        <v>173</v>
      </c>
      <c r="B111" t="s">
        <v>70</v>
      </c>
      <c r="C111" t="s">
        <v>37</v>
      </c>
      <c r="D111" t="s">
        <v>38</v>
      </c>
      <c r="E111">
        <v>2033</v>
      </c>
      <c r="F111">
        <v>2110</v>
      </c>
      <c r="G111">
        <v>876</v>
      </c>
      <c r="H111">
        <v>3</v>
      </c>
      <c r="N111">
        <v>0.27807048400000001</v>
      </c>
      <c r="R111">
        <v>3.12</v>
      </c>
      <c r="S111">
        <v>150</v>
      </c>
      <c r="T111">
        <v>101</v>
      </c>
      <c r="U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45">
      <c r="A112" t="s">
        <v>174</v>
      </c>
      <c r="B112" t="s">
        <v>102</v>
      </c>
      <c r="C112" t="s">
        <v>37</v>
      </c>
      <c r="D112" t="s">
        <v>38</v>
      </c>
      <c r="E112">
        <v>2000</v>
      </c>
      <c r="F112">
        <v>2080</v>
      </c>
      <c r="G112">
        <v>19.8</v>
      </c>
      <c r="H112">
        <v>1</v>
      </c>
      <c r="N112">
        <v>0.17549999999999999</v>
      </c>
      <c r="Q112">
        <v>0</v>
      </c>
      <c r="R112">
        <v>0</v>
      </c>
      <c r="S112">
        <v>50</v>
      </c>
      <c r="U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45">
      <c r="A113" t="s">
        <v>175</v>
      </c>
      <c r="B113" t="s">
        <v>102</v>
      </c>
      <c r="C113" t="s">
        <v>31</v>
      </c>
      <c r="D113" t="s">
        <v>176</v>
      </c>
      <c r="E113">
        <v>2011</v>
      </c>
      <c r="F113">
        <v>2050</v>
      </c>
      <c r="G113">
        <v>16</v>
      </c>
      <c r="H113">
        <v>1</v>
      </c>
      <c r="I113">
        <v>0.6</v>
      </c>
      <c r="J113">
        <v>9.2200000000000006</v>
      </c>
      <c r="K113">
        <v>0.33</v>
      </c>
      <c r="L113">
        <v>0.33</v>
      </c>
      <c r="N113">
        <v>0.2</v>
      </c>
      <c r="S113">
        <v>30</v>
      </c>
    </row>
    <row r="114" spans="1:26" x14ac:dyDescent="0.45">
      <c r="A114" t="s">
        <v>177</v>
      </c>
      <c r="B114" t="s">
        <v>102</v>
      </c>
      <c r="C114" t="s">
        <v>71</v>
      </c>
      <c r="D114" t="s">
        <v>38</v>
      </c>
      <c r="E114">
        <v>2027</v>
      </c>
      <c r="F114">
        <v>2107</v>
      </c>
      <c r="G114">
        <v>13.5</v>
      </c>
      <c r="H114">
        <v>2</v>
      </c>
      <c r="N114">
        <v>0.1835</v>
      </c>
      <c r="Q114">
        <v>0</v>
      </c>
      <c r="R114">
        <v>2.8</v>
      </c>
      <c r="T114">
        <v>13</v>
      </c>
    </row>
    <row r="115" spans="1:26" x14ac:dyDescent="0.45">
      <c r="A115" t="s">
        <v>178</v>
      </c>
      <c r="B115" t="s">
        <v>26</v>
      </c>
      <c r="C115" t="s">
        <v>31</v>
      </c>
      <c r="D115" t="s">
        <v>32</v>
      </c>
      <c r="E115">
        <v>1990</v>
      </c>
      <c r="F115">
        <v>2051</v>
      </c>
      <c r="G115">
        <v>3806</v>
      </c>
      <c r="H115">
        <v>1</v>
      </c>
      <c r="I115">
        <v>0.3</v>
      </c>
      <c r="J115">
        <v>12.7</v>
      </c>
      <c r="K115">
        <v>0.33</v>
      </c>
      <c r="L115">
        <v>0.33</v>
      </c>
      <c r="R115">
        <v>0</v>
      </c>
      <c r="U115">
        <v>0</v>
      </c>
      <c r="W115">
        <v>0</v>
      </c>
      <c r="X115">
        <v>0.05</v>
      </c>
      <c r="Y115">
        <v>0</v>
      </c>
      <c r="Z115">
        <v>621.79999999999995</v>
      </c>
    </row>
    <row r="116" spans="1:26" x14ac:dyDescent="0.45">
      <c r="A116" t="s">
        <v>179</v>
      </c>
      <c r="B116" t="s">
        <v>33</v>
      </c>
      <c r="C116" t="s">
        <v>27</v>
      </c>
      <c r="D116" t="s">
        <v>34</v>
      </c>
      <c r="E116">
        <v>2000</v>
      </c>
      <c r="F116">
        <v>2060</v>
      </c>
      <c r="G116">
        <v>21</v>
      </c>
      <c r="H116">
        <v>1</v>
      </c>
      <c r="J116">
        <v>13.62</v>
      </c>
      <c r="K116">
        <v>1</v>
      </c>
      <c r="L116">
        <v>1</v>
      </c>
      <c r="N116">
        <v>0.2</v>
      </c>
      <c r="Q116">
        <v>0</v>
      </c>
      <c r="R116">
        <v>0</v>
      </c>
      <c r="T116">
        <v>0</v>
      </c>
      <c r="U116">
        <v>0</v>
      </c>
      <c r="W116">
        <v>0</v>
      </c>
      <c r="X116">
        <v>0</v>
      </c>
      <c r="Y116">
        <v>0</v>
      </c>
      <c r="Z116">
        <v>0</v>
      </c>
    </row>
    <row r="117" spans="1:26" x14ac:dyDescent="0.45">
      <c r="A117" t="s">
        <v>180</v>
      </c>
      <c r="B117" t="s">
        <v>26</v>
      </c>
      <c r="C117" t="s">
        <v>31</v>
      </c>
      <c r="D117" t="s">
        <v>32</v>
      </c>
      <c r="E117">
        <v>1987</v>
      </c>
      <c r="F117">
        <v>2039</v>
      </c>
      <c r="G117">
        <v>3695</v>
      </c>
      <c r="H117">
        <v>1</v>
      </c>
      <c r="I117">
        <v>0.3</v>
      </c>
      <c r="J117">
        <v>11.4</v>
      </c>
      <c r="K117">
        <v>0.33</v>
      </c>
      <c r="L117">
        <v>0.33</v>
      </c>
      <c r="R117">
        <v>0</v>
      </c>
      <c r="U117">
        <v>0</v>
      </c>
      <c r="W117">
        <v>0</v>
      </c>
      <c r="X117">
        <v>0.05</v>
      </c>
      <c r="Y117">
        <v>0</v>
      </c>
      <c r="Z117">
        <v>615</v>
      </c>
    </row>
    <row r="118" spans="1:26" x14ac:dyDescent="0.45">
      <c r="A118" t="s">
        <v>181</v>
      </c>
      <c r="B118" t="s">
        <v>26</v>
      </c>
      <c r="C118" t="s">
        <v>31</v>
      </c>
      <c r="D118" t="s">
        <v>32</v>
      </c>
      <c r="E118">
        <v>1979</v>
      </c>
      <c r="F118">
        <v>2031</v>
      </c>
      <c r="G118">
        <v>3450</v>
      </c>
      <c r="H118">
        <v>1</v>
      </c>
      <c r="I118">
        <v>0.3</v>
      </c>
      <c r="J118">
        <v>11.3</v>
      </c>
      <c r="K118">
        <v>0.33</v>
      </c>
      <c r="L118">
        <v>0.33</v>
      </c>
      <c r="R118">
        <v>0</v>
      </c>
      <c r="U118">
        <v>0</v>
      </c>
      <c r="W118">
        <v>0</v>
      </c>
      <c r="X118">
        <v>0.05</v>
      </c>
      <c r="Y118">
        <v>0</v>
      </c>
      <c r="Z118">
        <v>575</v>
      </c>
    </row>
    <row r="119" spans="1:26" x14ac:dyDescent="0.45">
      <c r="A119" t="s">
        <v>182</v>
      </c>
      <c r="B119" t="s">
        <v>26</v>
      </c>
      <c r="C119" t="s">
        <v>31</v>
      </c>
      <c r="D119" t="s">
        <v>32</v>
      </c>
      <c r="E119">
        <v>2015</v>
      </c>
      <c r="F119">
        <v>2065</v>
      </c>
      <c r="G119">
        <v>4320</v>
      </c>
      <c r="H119">
        <v>1</v>
      </c>
      <c r="I119">
        <v>0.3</v>
      </c>
      <c r="J119">
        <v>9.2100000000000009</v>
      </c>
      <c r="K119">
        <v>0.33</v>
      </c>
      <c r="L119">
        <v>0.33</v>
      </c>
      <c r="R119">
        <v>0</v>
      </c>
      <c r="T119">
        <v>0</v>
      </c>
      <c r="U119">
        <v>0</v>
      </c>
      <c r="W119">
        <v>0</v>
      </c>
      <c r="X119">
        <v>0.05</v>
      </c>
      <c r="Y119">
        <v>0</v>
      </c>
      <c r="Z119">
        <v>800</v>
      </c>
    </row>
    <row r="120" spans="1:26" x14ac:dyDescent="0.45">
      <c r="A120" t="s">
        <v>183</v>
      </c>
      <c r="B120" t="s">
        <v>26</v>
      </c>
      <c r="C120" t="s">
        <v>31</v>
      </c>
      <c r="D120" t="s">
        <v>40</v>
      </c>
      <c r="E120">
        <v>2000</v>
      </c>
      <c r="F120">
        <v>2055</v>
      </c>
      <c r="G120">
        <v>91.7</v>
      </c>
      <c r="H120">
        <v>1</v>
      </c>
      <c r="J120">
        <v>10</v>
      </c>
      <c r="K120">
        <v>0.9</v>
      </c>
      <c r="L120">
        <v>0.9</v>
      </c>
      <c r="N120">
        <v>0.8</v>
      </c>
      <c r="R120">
        <v>0</v>
      </c>
      <c r="U120">
        <v>0</v>
      </c>
      <c r="W120">
        <v>0</v>
      </c>
      <c r="X120">
        <v>0</v>
      </c>
      <c r="Y120">
        <v>0</v>
      </c>
    </row>
    <row r="121" spans="1:26" x14ac:dyDescent="0.45">
      <c r="A121" t="s">
        <v>184</v>
      </c>
      <c r="B121" t="s">
        <v>33</v>
      </c>
      <c r="C121" t="s">
        <v>37</v>
      </c>
      <c r="D121" t="s">
        <v>38</v>
      </c>
      <c r="E121">
        <v>2033</v>
      </c>
      <c r="F121">
        <v>2101</v>
      </c>
      <c r="G121">
        <v>358</v>
      </c>
      <c r="H121">
        <v>2</v>
      </c>
      <c r="N121">
        <v>0.27807048400000001</v>
      </c>
      <c r="R121">
        <v>3.12</v>
      </c>
      <c r="S121">
        <v>50</v>
      </c>
      <c r="T121">
        <v>359</v>
      </c>
      <c r="U121">
        <v>0</v>
      </c>
      <c r="W121">
        <v>0</v>
      </c>
      <c r="X121">
        <v>0</v>
      </c>
      <c r="Y121">
        <v>0</v>
      </c>
      <c r="Z121">
        <v>0</v>
      </c>
    </row>
    <row r="122" spans="1:26" x14ac:dyDescent="0.45">
      <c r="A122" t="s">
        <v>185</v>
      </c>
      <c r="B122" t="s">
        <v>63</v>
      </c>
      <c r="C122" t="s">
        <v>37</v>
      </c>
      <c r="D122" t="s">
        <v>38</v>
      </c>
      <c r="E122">
        <v>1957</v>
      </c>
      <c r="F122">
        <v>2060</v>
      </c>
      <c r="G122">
        <v>260</v>
      </c>
      <c r="H122">
        <v>1</v>
      </c>
      <c r="N122">
        <v>0.41</v>
      </c>
      <c r="Q122">
        <v>0</v>
      </c>
      <c r="R122">
        <v>0</v>
      </c>
      <c r="S122">
        <v>50</v>
      </c>
      <c r="U122">
        <v>0</v>
      </c>
      <c r="W122">
        <v>0</v>
      </c>
      <c r="X122">
        <v>0</v>
      </c>
      <c r="Y122">
        <v>0</v>
      </c>
      <c r="Z122">
        <v>0</v>
      </c>
    </row>
    <row r="123" spans="1:26" x14ac:dyDescent="0.45">
      <c r="A123" t="s">
        <v>186</v>
      </c>
      <c r="B123" t="s">
        <v>133</v>
      </c>
      <c r="C123" t="s">
        <v>37</v>
      </c>
      <c r="D123" t="s">
        <v>38</v>
      </c>
      <c r="E123">
        <v>2000</v>
      </c>
      <c r="F123">
        <v>2080</v>
      </c>
      <c r="G123">
        <v>74</v>
      </c>
      <c r="H123">
        <v>1</v>
      </c>
      <c r="N123">
        <v>0.39600000000000002</v>
      </c>
      <c r="Q123">
        <v>0</v>
      </c>
      <c r="R123">
        <v>0</v>
      </c>
      <c r="S123">
        <v>50</v>
      </c>
      <c r="U123">
        <v>0</v>
      </c>
      <c r="W123">
        <v>0</v>
      </c>
      <c r="X123">
        <v>0</v>
      </c>
      <c r="Y123">
        <v>0</v>
      </c>
      <c r="Z123">
        <v>0</v>
      </c>
    </row>
    <row r="124" spans="1:26" x14ac:dyDescent="0.45">
      <c r="A124" t="s">
        <v>187</v>
      </c>
      <c r="B124" t="s">
        <v>30</v>
      </c>
      <c r="C124" t="s">
        <v>31</v>
      </c>
      <c r="D124" t="s">
        <v>40</v>
      </c>
      <c r="E124">
        <v>2024</v>
      </c>
      <c r="F124">
        <v>2074</v>
      </c>
      <c r="G124">
        <v>4</v>
      </c>
      <c r="H124">
        <v>3</v>
      </c>
      <c r="J124">
        <v>10</v>
      </c>
      <c r="K124">
        <v>0.9</v>
      </c>
      <c r="L124">
        <v>0.9</v>
      </c>
      <c r="N124">
        <v>0.8</v>
      </c>
      <c r="R124">
        <v>1.5</v>
      </c>
      <c r="T124">
        <v>4</v>
      </c>
      <c r="U124">
        <v>0</v>
      </c>
      <c r="W124">
        <v>0</v>
      </c>
      <c r="X124">
        <v>0</v>
      </c>
      <c r="Y124">
        <v>0</v>
      </c>
      <c r="Z124">
        <v>4</v>
      </c>
    </row>
    <row r="125" spans="1:26" x14ac:dyDescent="0.45">
      <c r="A125" t="s">
        <v>188</v>
      </c>
      <c r="B125" t="s">
        <v>58</v>
      </c>
      <c r="C125" t="s">
        <v>37</v>
      </c>
      <c r="D125" t="s">
        <v>38</v>
      </c>
      <c r="E125">
        <v>2032</v>
      </c>
      <c r="F125">
        <v>2112</v>
      </c>
      <c r="G125">
        <v>658</v>
      </c>
      <c r="H125">
        <v>3</v>
      </c>
      <c r="N125">
        <v>0.34</v>
      </c>
      <c r="R125">
        <v>3.12</v>
      </c>
      <c r="S125">
        <v>50</v>
      </c>
      <c r="T125">
        <v>300</v>
      </c>
    </row>
    <row r="126" spans="1:26" x14ac:dyDescent="0.45">
      <c r="A126" t="s">
        <v>189</v>
      </c>
      <c r="B126" t="s">
        <v>63</v>
      </c>
      <c r="C126" t="s">
        <v>37</v>
      </c>
      <c r="D126" t="s">
        <v>38</v>
      </c>
      <c r="E126">
        <v>1954</v>
      </c>
      <c r="F126">
        <v>2060</v>
      </c>
      <c r="G126">
        <v>100</v>
      </c>
      <c r="H126">
        <v>1</v>
      </c>
      <c r="N126">
        <v>0.31</v>
      </c>
      <c r="Q126">
        <v>0</v>
      </c>
      <c r="R126">
        <v>0</v>
      </c>
      <c r="S126">
        <v>50</v>
      </c>
      <c r="U126">
        <v>0</v>
      </c>
      <c r="W126">
        <v>0</v>
      </c>
      <c r="X126">
        <v>0</v>
      </c>
      <c r="Y126">
        <v>0</v>
      </c>
      <c r="Z126">
        <v>0</v>
      </c>
    </row>
    <row r="127" spans="1:26" x14ac:dyDescent="0.45">
      <c r="A127" t="s">
        <v>190</v>
      </c>
      <c r="B127" t="s">
        <v>58</v>
      </c>
      <c r="C127" t="s">
        <v>43</v>
      </c>
      <c r="D127" t="s">
        <v>44</v>
      </c>
      <c r="E127">
        <v>2030</v>
      </c>
      <c r="F127">
        <v>2060</v>
      </c>
      <c r="G127">
        <v>1200</v>
      </c>
      <c r="H127">
        <v>3</v>
      </c>
      <c r="I127">
        <v>0.2</v>
      </c>
      <c r="J127">
        <v>9.75</v>
      </c>
      <c r="K127">
        <v>0.1</v>
      </c>
      <c r="L127">
        <v>0.1</v>
      </c>
      <c r="N127">
        <v>0.2</v>
      </c>
      <c r="Q127">
        <v>0</v>
      </c>
      <c r="R127">
        <v>1.1000000000000001</v>
      </c>
      <c r="T127">
        <v>230</v>
      </c>
      <c r="X127">
        <v>0.05</v>
      </c>
      <c r="Y127">
        <v>0</v>
      </c>
    </row>
    <row r="128" spans="1:26" x14ac:dyDescent="0.45">
      <c r="A128" t="s">
        <v>191</v>
      </c>
      <c r="B128" t="s">
        <v>36</v>
      </c>
      <c r="C128" t="s">
        <v>96</v>
      </c>
      <c r="D128" t="s">
        <v>97</v>
      </c>
      <c r="E128">
        <v>2033</v>
      </c>
      <c r="F128">
        <v>2063</v>
      </c>
      <c r="G128">
        <v>106</v>
      </c>
      <c r="H128">
        <v>3</v>
      </c>
      <c r="K128">
        <v>1</v>
      </c>
      <c r="L128">
        <v>1</v>
      </c>
      <c r="R128">
        <v>1.3</v>
      </c>
      <c r="T128">
        <v>50</v>
      </c>
      <c r="Y128">
        <v>1</v>
      </c>
    </row>
    <row r="129" spans="1:26" x14ac:dyDescent="0.45">
      <c r="A129" t="s">
        <v>192</v>
      </c>
      <c r="B129" t="s">
        <v>48</v>
      </c>
      <c r="C129" t="s">
        <v>43</v>
      </c>
      <c r="D129" t="s">
        <v>44</v>
      </c>
      <c r="E129">
        <v>2034</v>
      </c>
      <c r="F129">
        <v>2064</v>
      </c>
      <c r="G129">
        <v>600</v>
      </c>
      <c r="H129">
        <v>3</v>
      </c>
      <c r="I129">
        <v>0.2</v>
      </c>
      <c r="J129">
        <v>9.75</v>
      </c>
      <c r="K129">
        <v>0.1</v>
      </c>
      <c r="L129">
        <v>0.1</v>
      </c>
      <c r="N129">
        <v>0.2</v>
      </c>
      <c r="R129">
        <v>1.2450805009999999</v>
      </c>
      <c r="T129">
        <v>300</v>
      </c>
      <c r="U129">
        <v>0</v>
      </c>
      <c r="X129">
        <v>0.05</v>
      </c>
      <c r="Y129">
        <v>0</v>
      </c>
      <c r="Z129">
        <v>0</v>
      </c>
    </row>
    <row r="130" spans="1:26" x14ac:dyDescent="0.45">
      <c r="A130" t="s">
        <v>193</v>
      </c>
      <c r="B130" t="s">
        <v>133</v>
      </c>
      <c r="C130" t="s">
        <v>96</v>
      </c>
      <c r="D130" t="s">
        <v>97</v>
      </c>
      <c r="E130">
        <v>2028</v>
      </c>
      <c r="F130">
        <v>2055</v>
      </c>
      <c r="G130">
        <v>35</v>
      </c>
      <c r="H130">
        <v>3</v>
      </c>
      <c r="K130">
        <v>1</v>
      </c>
      <c r="L130">
        <v>1</v>
      </c>
      <c r="R130">
        <v>1.3</v>
      </c>
      <c r="T130">
        <v>35</v>
      </c>
      <c r="Y130">
        <v>1</v>
      </c>
    </row>
    <row r="131" spans="1:26" x14ac:dyDescent="0.45">
      <c r="A131" t="s">
        <v>194</v>
      </c>
      <c r="B131" t="s">
        <v>106</v>
      </c>
      <c r="C131" t="s">
        <v>66</v>
      </c>
      <c r="D131" t="s">
        <v>67</v>
      </c>
      <c r="E131">
        <v>2023</v>
      </c>
      <c r="F131">
        <v>2060</v>
      </c>
      <c r="G131">
        <v>30</v>
      </c>
      <c r="H131">
        <v>1</v>
      </c>
      <c r="J131">
        <v>0</v>
      </c>
      <c r="R131">
        <v>0</v>
      </c>
      <c r="T131">
        <v>0</v>
      </c>
      <c r="U131">
        <v>0</v>
      </c>
      <c r="W131">
        <v>0</v>
      </c>
      <c r="X131">
        <v>0</v>
      </c>
      <c r="Y131">
        <v>1</v>
      </c>
      <c r="Z131">
        <v>0</v>
      </c>
    </row>
    <row r="132" spans="1:26" x14ac:dyDescent="0.45">
      <c r="A132" t="s">
        <v>195</v>
      </c>
      <c r="B132" t="s">
        <v>46</v>
      </c>
      <c r="C132" t="s">
        <v>43</v>
      </c>
      <c r="D132" t="s">
        <v>44</v>
      </c>
      <c r="E132">
        <v>2030</v>
      </c>
      <c r="F132">
        <v>2082</v>
      </c>
      <c r="G132">
        <v>500</v>
      </c>
      <c r="H132">
        <v>3</v>
      </c>
      <c r="I132">
        <v>0.2</v>
      </c>
      <c r="J132">
        <v>9.75</v>
      </c>
      <c r="K132">
        <v>0.1</v>
      </c>
      <c r="L132">
        <v>0.1</v>
      </c>
      <c r="N132">
        <v>0.2</v>
      </c>
      <c r="Q132">
        <v>0</v>
      </c>
      <c r="R132">
        <v>1.2450805009999999</v>
      </c>
      <c r="T132">
        <v>200</v>
      </c>
      <c r="U132">
        <v>0</v>
      </c>
      <c r="X132">
        <v>0.05</v>
      </c>
      <c r="Y132">
        <v>0</v>
      </c>
      <c r="Z132">
        <v>0</v>
      </c>
    </row>
    <row r="133" spans="1:26" x14ac:dyDescent="0.45">
      <c r="A133" t="s">
        <v>196</v>
      </c>
      <c r="B133" t="s">
        <v>102</v>
      </c>
      <c r="C133" t="s">
        <v>31</v>
      </c>
      <c r="D133" t="s">
        <v>197</v>
      </c>
      <c r="E133">
        <v>2028</v>
      </c>
      <c r="F133">
        <v>2060</v>
      </c>
      <c r="G133">
        <v>20</v>
      </c>
      <c r="H133">
        <v>2</v>
      </c>
      <c r="J133">
        <v>11.37</v>
      </c>
      <c r="K133">
        <v>0.9</v>
      </c>
      <c r="L133">
        <v>0.9</v>
      </c>
      <c r="N133">
        <v>0.8</v>
      </c>
      <c r="R133">
        <v>1.5</v>
      </c>
      <c r="T133">
        <v>35</v>
      </c>
      <c r="U133">
        <v>0</v>
      </c>
      <c r="W133">
        <v>0</v>
      </c>
      <c r="X133">
        <v>0</v>
      </c>
      <c r="Y133">
        <v>0</v>
      </c>
      <c r="Z133">
        <v>35</v>
      </c>
    </row>
    <row r="134" spans="1:26" x14ac:dyDescent="0.45">
      <c r="A134" t="s">
        <v>198</v>
      </c>
      <c r="B134" t="s">
        <v>102</v>
      </c>
      <c r="C134" t="s">
        <v>66</v>
      </c>
      <c r="D134" t="s">
        <v>67</v>
      </c>
      <c r="E134">
        <v>2030</v>
      </c>
      <c r="F134">
        <v>2056</v>
      </c>
      <c r="G134">
        <v>16</v>
      </c>
      <c r="H134">
        <v>2</v>
      </c>
      <c r="R134">
        <v>0.8</v>
      </c>
      <c r="T134">
        <v>75</v>
      </c>
      <c r="Y134">
        <v>1</v>
      </c>
    </row>
    <row r="135" spans="1:26" x14ac:dyDescent="0.45">
      <c r="A135" t="s">
        <v>199</v>
      </c>
      <c r="B135" t="s">
        <v>102</v>
      </c>
      <c r="C135" t="s">
        <v>66</v>
      </c>
      <c r="D135" t="s">
        <v>67</v>
      </c>
      <c r="E135">
        <v>2027</v>
      </c>
      <c r="F135">
        <v>2056</v>
      </c>
      <c r="G135">
        <v>60</v>
      </c>
      <c r="H135">
        <v>2</v>
      </c>
      <c r="R135">
        <v>0.8</v>
      </c>
      <c r="T135">
        <v>75</v>
      </c>
      <c r="Y135">
        <v>1</v>
      </c>
    </row>
    <row r="136" spans="1:26" x14ac:dyDescent="0.45">
      <c r="A136" t="s">
        <v>200</v>
      </c>
      <c r="B136" t="s">
        <v>106</v>
      </c>
      <c r="C136" t="s">
        <v>66</v>
      </c>
      <c r="D136" t="s">
        <v>67</v>
      </c>
      <c r="E136">
        <v>2019</v>
      </c>
      <c r="F136">
        <v>2060</v>
      </c>
      <c r="G136">
        <v>30</v>
      </c>
      <c r="H136">
        <v>1</v>
      </c>
      <c r="J136">
        <v>0</v>
      </c>
      <c r="R136">
        <v>0</v>
      </c>
      <c r="T136">
        <v>0</v>
      </c>
      <c r="U136">
        <v>0</v>
      </c>
      <c r="W136">
        <v>0</v>
      </c>
      <c r="X136">
        <v>0</v>
      </c>
      <c r="Y136">
        <v>1</v>
      </c>
      <c r="Z136">
        <v>0</v>
      </c>
    </row>
    <row r="137" spans="1:26" x14ac:dyDescent="0.45">
      <c r="A137" t="s">
        <v>201</v>
      </c>
      <c r="B137" t="s">
        <v>106</v>
      </c>
      <c r="C137" t="s">
        <v>27</v>
      </c>
      <c r="D137" t="s">
        <v>28</v>
      </c>
      <c r="E137">
        <v>2021</v>
      </c>
      <c r="F137">
        <v>2071</v>
      </c>
      <c r="G137">
        <v>102</v>
      </c>
      <c r="H137">
        <v>1</v>
      </c>
      <c r="J137">
        <v>10.425986999999999</v>
      </c>
      <c r="R137">
        <v>0</v>
      </c>
      <c r="T137">
        <v>0</v>
      </c>
      <c r="U137">
        <v>0</v>
      </c>
      <c r="W137">
        <v>0</v>
      </c>
      <c r="X137">
        <v>0</v>
      </c>
      <c r="Y137">
        <v>0</v>
      </c>
      <c r="Z137">
        <v>40</v>
      </c>
    </row>
    <row r="138" spans="1:26" x14ac:dyDescent="0.45">
      <c r="A138" t="s">
        <v>202</v>
      </c>
      <c r="B138" t="s">
        <v>76</v>
      </c>
      <c r="C138" t="s">
        <v>53</v>
      </c>
      <c r="D138" t="s">
        <v>44</v>
      </c>
      <c r="E138">
        <v>2015</v>
      </c>
      <c r="F138">
        <v>2065</v>
      </c>
      <c r="G138">
        <v>175</v>
      </c>
      <c r="H138">
        <v>1</v>
      </c>
      <c r="J138">
        <v>10.23</v>
      </c>
      <c r="K138">
        <v>0.3</v>
      </c>
      <c r="L138">
        <v>0.3</v>
      </c>
      <c r="R138">
        <v>0</v>
      </c>
      <c r="U138">
        <v>0</v>
      </c>
      <c r="V138">
        <v>7</v>
      </c>
      <c r="W138">
        <v>10.690939</v>
      </c>
      <c r="X138">
        <v>0.5</v>
      </c>
      <c r="Y138">
        <v>0</v>
      </c>
    </row>
    <row r="139" spans="1:26" x14ac:dyDescent="0.45">
      <c r="A139" t="s">
        <v>203</v>
      </c>
      <c r="B139" t="s">
        <v>76</v>
      </c>
      <c r="C139" t="s">
        <v>53</v>
      </c>
      <c r="D139" t="s">
        <v>44</v>
      </c>
      <c r="E139">
        <v>2016</v>
      </c>
      <c r="F139">
        <v>2066</v>
      </c>
      <c r="G139">
        <v>120</v>
      </c>
      <c r="H139">
        <v>1</v>
      </c>
      <c r="J139">
        <v>10.23</v>
      </c>
      <c r="K139">
        <v>0.3</v>
      </c>
      <c r="L139">
        <v>0.3</v>
      </c>
      <c r="R139">
        <v>0</v>
      </c>
      <c r="U139">
        <v>0</v>
      </c>
      <c r="V139">
        <v>7</v>
      </c>
      <c r="W139">
        <v>10.690939</v>
      </c>
      <c r="X139">
        <v>0.5</v>
      </c>
      <c r="Y139">
        <v>0</v>
      </c>
    </row>
    <row r="140" spans="1:26" x14ac:dyDescent="0.45">
      <c r="A140" t="s">
        <v>204</v>
      </c>
      <c r="B140" t="s">
        <v>76</v>
      </c>
      <c r="C140" t="s">
        <v>53</v>
      </c>
      <c r="D140" t="s">
        <v>44</v>
      </c>
      <c r="E140">
        <v>2000</v>
      </c>
      <c r="F140">
        <v>2055</v>
      </c>
      <c r="G140">
        <v>1</v>
      </c>
      <c r="H140">
        <v>1</v>
      </c>
      <c r="J140">
        <v>10.41544727</v>
      </c>
      <c r="K140">
        <v>0.3</v>
      </c>
      <c r="L140">
        <v>0.3</v>
      </c>
      <c r="R140">
        <v>0</v>
      </c>
      <c r="U140">
        <v>0</v>
      </c>
      <c r="V140">
        <v>7</v>
      </c>
      <c r="W140">
        <v>11.115447270000001</v>
      </c>
      <c r="X140">
        <v>0.45</v>
      </c>
      <c r="Y140">
        <v>0</v>
      </c>
    </row>
    <row r="141" spans="1:26" x14ac:dyDescent="0.45">
      <c r="A141" t="s">
        <v>205</v>
      </c>
      <c r="B141" t="s">
        <v>58</v>
      </c>
      <c r="C141" t="s">
        <v>37</v>
      </c>
      <c r="D141" t="s">
        <v>38</v>
      </c>
      <c r="E141">
        <v>2030</v>
      </c>
      <c r="F141">
        <v>2110</v>
      </c>
      <c r="G141">
        <v>388</v>
      </c>
      <c r="H141">
        <v>3</v>
      </c>
      <c r="N141">
        <v>0.39</v>
      </c>
      <c r="R141">
        <v>3.12</v>
      </c>
      <c r="S141">
        <v>50</v>
      </c>
      <c r="T141">
        <v>80</v>
      </c>
    </row>
    <row r="142" spans="1:26" x14ac:dyDescent="0.45">
      <c r="A142" t="s">
        <v>206</v>
      </c>
      <c r="B142" t="s">
        <v>102</v>
      </c>
      <c r="C142" t="s">
        <v>31</v>
      </c>
      <c r="D142" t="s">
        <v>176</v>
      </c>
      <c r="E142">
        <v>2030</v>
      </c>
      <c r="F142">
        <v>2055</v>
      </c>
      <c r="G142">
        <v>100</v>
      </c>
      <c r="H142">
        <v>3</v>
      </c>
      <c r="I142">
        <v>0.6</v>
      </c>
      <c r="J142">
        <v>9.2200000000000006</v>
      </c>
      <c r="K142">
        <v>0.9</v>
      </c>
      <c r="L142">
        <v>0.9</v>
      </c>
      <c r="N142">
        <v>0.2</v>
      </c>
      <c r="R142">
        <v>1.5</v>
      </c>
      <c r="S142">
        <v>30</v>
      </c>
      <c r="T142">
        <v>20</v>
      </c>
    </row>
    <row r="143" spans="1:26" x14ac:dyDescent="0.45">
      <c r="A143" t="s">
        <v>207</v>
      </c>
      <c r="B143" t="s">
        <v>102</v>
      </c>
      <c r="C143" t="s">
        <v>31</v>
      </c>
      <c r="D143" t="s">
        <v>32</v>
      </c>
      <c r="E143">
        <v>2035</v>
      </c>
      <c r="F143">
        <v>2085</v>
      </c>
      <c r="G143">
        <v>300</v>
      </c>
      <c r="H143">
        <v>3</v>
      </c>
      <c r="I143">
        <v>0.3</v>
      </c>
      <c r="J143">
        <v>10</v>
      </c>
      <c r="K143">
        <v>0.33</v>
      </c>
      <c r="L143">
        <v>0.33</v>
      </c>
      <c r="R143">
        <v>2.466504472</v>
      </c>
      <c r="T143">
        <v>150</v>
      </c>
      <c r="U143">
        <v>0</v>
      </c>
      <c r="W143">
        <v>0</v>
      </c>
      <c r="X143">
        <v>0.05</v>
      </c>
      <c r="Y143">
        <v>0</v>
      </c>
      <c r="Z143">
        <v>0</v>
      </c>
    </row>
    <row r="144" spans="1:26" x14ac:dyDescent="0.45">
      <c r="A144" t="s">
        <v>208</v>
      </c>
      <c r="B144" t="s">
        <v>26</v>
      </c>
      <c r="C144" t="s">
        <v>31</v>
      </c>
      <c r="D144" t="s">
        <v>209</v>
      </c>
      <c r="E144">
        <v>2019</v>
      </c>
      <c r="F144">
        <v>2054</v>
      </c>
      <c r="G144">
        <v>41.4</v>
      </c>
      <c r="H144">
        <v>1</v>
      </c>
      <c r="J144">
        <v>10</v>
      </c>
      <c r="K144">
        <v>0.33</v>
      </c>
      <c r="L144">
        <v>0.33</v>
      </c>
      <c r="N144">
        <v>0.8</v>
      </c>
      <c r="R144">
        <v>0</v>
      </c>
      <c r="U144">
        <v>0</v>
      </c>
      <c r="W144">
        <v>0</v>
      </c>
      <c r="X144">
        <v>0</v>
      </c>
      <c r="Y144">
        <v>0</v>
      </c>
    </row>
    <row r="145" spans="1:26" x14ac:dyDescent="0.45">
      <c r="A145" t="s">
        <v>210</v>
      </c>
      <c r="B145" t="s">
        <v>33</v>
      </c>
      <c r="C145" t="s">
        <v>37</v>
      </c>
      <c r="D145" t="s">
        <v>38</v>
      </c>
      <c r="E145">
        <v>2000</v>
      </c>
      <c r="F145">
        <v>2080</v>
      </c>
      <c r="G145">
        <v>144.25</v>
      </c>
      <c r="H145">
        <v>1</v>
      </c>
      <c r="N145">
        <v>0.32507730600000001</v>
      </c>
      <c r="R145">
        <v>0</v>
      </c>
      <c r="T145">
        <v>0</v>
      </c>
      <c r="U145">
        <v>0</v>
      </c>
      <c r="W145">
        <v>0</v>
      </c>
      <c r="X145">
        <v>0</v>
      </c>
      <c r="Y145">
        <v>0</v>
      </c>
      <c r="Z145">
        <v>0</v>
      </c>
    </row>
    <row r="146" spans="1:26" x14ac:dyDescent="0.45">
      <c r="A146" t="s">
        <v>211</v>
      </c>
      <c r="B146" t="s">
        <v>95</v>
      </c>
      <c r="C146" t="s">
        <v>71</v>
      </c>
      <c r="D146" t="s">
        <v>38</v>
      </c>
      <c r="E146">
        <v>1972</v>
      </c>
      <c r="F146">
        <v>2060</v>
      </c>
      <c r="G146">
        <v>74</v>
      </c>
      <c r="H146">
        <v>1</v>
      </c>
      <c r="N146">
        <v>0.31</v>
      </c>
      <c r="Q146">
        <v>0</v>
      </c>
      <c r="R146">
        <v>0</v>
      </c>
      <c r="S146">
        <v>50</v>
      </c>
      <c r="U146">
        <v>0</v>
      </c>
      <c r="W146">
        <v>0</v>
      </c>
      <c r="X146">
        <v>0</v>
      </c>
      <c r="Y146">
        <v>0</v>
      </c>
      <c r="Z146">
        <v>0</v>
      </c>
    </row>
    <row r="147" spans="1:26" x14ac:dyDescent="0.45">
      <c r="A147" t="s">
        <v>212</v>
      </c>
      <c r="B147" t="s">
        <v>133</v>
      </c>
      <c r="C147" t="s">
        <v>37</v>
      </c>
      <c r="D147" t="s">
        <v>38</v>
      </c>
      <c r="E147">
        <v>2037</v>
      </c>
      <c r="F147">
        <v>2060</v>
      </c>
      <c r="G147">
        <v>210</v>
      </c>
      <c r="H147">
        <v>3</v>
      </c>
      <c r="N147">
        <v>0.27807048400000001</v>
      </c>
      <c r="R147">
        <v>3.12</v>
      </c>
      <c r="S147">
        <v>50</v>
      </c>
      <c r="T147">
        <v>110</v>
      </c>
      <c r="U147">
        <v>0</v>
      </c>
      <c r="W147">
        <v>0</v>
      </c>
      <c r="X147">
        <v>0</v>
      </c>
      <c r="Y147">
        <v>0</v>
      </c>
      <c r="Z147">
        <v>0</v>
      </c>
    </row>
    <row r="148" spans="1:26" x14ac:dyDescent="0.45">
      <c r="A148" t="s">
        <v>213</v>
      </c>
      <c r="B148" t="s">
        <v>84</v>
      </c>
      <c r="C148" t="s">
        <v>66</v>
      </c>
      <c r="D148" t="s">
        <v>67</v>
      </c>
      <c r="E148">
        <v>2026</v>
      </c>
      <c r="F148">
        <v>2056</v>
      </c>
      <c r="G148">
        <v>18000</v>
      </c>
      <c r="H148">
        <v>3</v>
      </c>
      <c r="R148">
        <v>0.8</v>
      </c>
      <c r="T148">
        <v>200</v>
      </c>
      <c r="Y148">
        <v>1</v>
      </c>
    </row>
    <row r="149" spans="1:26" x14ac:dyDescent="0.45">
      <c r="A149" t="s">
        <v>214</v>
      </c>
      <c r="B149" t="s">
        <v>48</v>
      </c>
      <c r="C149" t="s">
        <v>31</v>
      </c>
      <c r="D149" t="s">
        <v>40</v>
      </c>
      <c r="E149">
        <v>2027</v>
      </c>
      <c r="F149">
        <v>2057</v>
      </c>
      <c r="G149">
        <v>40</v>
      </c>
      <c r="H149">
        <v>2</v>
      </c>
      <c r="J149">
        <v>12.5</v>
      </c>
      <c r="K149">
        <v>0.9</v>
      </c>
      <c r="L149">
        <v>0.9</v>
      </c>
      <c r="N149">
        <v>0.8</v>
      </c>
      <c r="R149">
        <v>1.5</v>
      </c>
      <c r="T149">
        <v>40</v>
      </c>
      <c r="U149">
        <v>0</v>
      </c>
      <c r="W149">
        <v>0</v>
      </c>
      <c r="X149">
        <v>0</v>
      </c>
      <c r="Y149">
        <v>0</v>
      </c>
      <c r="Z149">
        <v>40</v>
      </c>
    </row>
    <row r="150" spans="1:26" x14ac:dyDescent="0.45">
      <c r="A150" t="s">
        <v>215</v>
      </c>
      <c r="B150" t="s">
        <v>76</v>
      </c>
      <c r="C150" t="s">
        <v>53</v>
      </c>
      <c r="D150" t="s">
        <v>44</v>
      </c>
      <c r="E150">
        <v>2014</v>
      </c>
      <c r="F150">
        <v>2064</v>
      </c>
      <c r="G150">
        <v>9.1999999999999993</v>
      </c>
      <c r="H150">
        <v>1</v>
      </c>
      <c r="J150">
        <v>10.41544727</v>
      </c>
      <c r="K150">
        <v>0.3</v>
      </c>
      <c r="L150">
        <v>0.3</v>
      </c>
      <c r="R150">
        <v>0</v>
      </c>
      <c r="U150">
        <v>0</v>
      </c>
      <c r="V150">
        <v>7</v>
      </c>
      <c r="W150">
        <v>11.115447270000001</v>
      </c>
      <c r="X150">
        <v>0.45</v>
      </c>
      <c r="Y150">
        <v>0</v>
      </c>
    </row>
    <row r="151" spans="1:26" x14ac:dyDescent="0.45">
      <c r="A151" t="s">
        <v>216</v>
      </c>
      <c r="B151" t="s">
        <v>48</v>
      </c>
      <c r="C151" t="s">
        <v>27</v>
      </c>
      <c r="D151" t="s">
        <v>28</v>
      </c>
      <c r="E151">
        <v>1976</v>
      </c>
      <c r="F151">
        <v>2017</v>
      </c>
      <c r="G151">
        <v>25</v>
      </c>
      <c r="H151">
        <v>1</v>
      </c>
      <c r="J151">
        <v>10.41544727</v>
      </c>
      <c r="R151">
        <v>0</v>
      </c>
      <c r="U151">
        <v>0</v>
      </c>
      <c r="W151">
        <v>0</v>
      </c>
      <c r="X151">
        <v>0</v>
      </c>
      <c r="Y151">
        <v>0</v>
      </c>
      <c r="Z151">
        <v>0</v>
      </c>
    </row>
    <row r="152" spans="1:26" x14ac:dyDescent="0.45">
      <c r="A152" t="s">
        <v>217</v>
      </c>
      <c r="B152" t="s">
        <v>26</v>
      </c>
      <c r="C152" t="s">
        <v>53</v>
      </c>
      <c r="D152" t="s">
        <v>28</v>
      </c>
      <c r="E152">
        <v>1976</v>
      </c>
      <c r="F152">
        <v>2026</v>
      </c>
      <c r="G152">
        <v>171</v>
      </c>
      <c r="H152">
        <v>1</v>
      </c>
      <c r="J152">
        <v>11.261013780000001</v>
      </c>
      <c r="K152">
        <v>0.3</v>
      </c>
      <c r="L152">
        <v>0.3</v>
      </c>
      <c r="R152">
        <v>0</v>
      </c>
      <c r="U152">
        <v>0</v>
      </c>
      <c r="W152">
        <v>0</v>
      </c>
      <c r="X152">
        <v>0</v>
      </c>
      <c r="Y152">
        <v>0</v>
      </c>
      <c r="Z152">
        <v>0</v>
      </c>
    </row>
    <row r="153" spans="1:26" x14ac:dyDescent="0.45">
      <c r="A153" t="s">
        <v>218</v>
      </c>
      <c r="B153" t="s">
        <v>70</v>
      </c>
      <c r="C153" t="s">
        <v>37</v>
      </c>
      <c r="D153" t="s">
        <v>38</v>
      </c>
      <c r="E153">
        <v>2040</v>
      </c>
      <c r="F153">
        <v>2110</v>
      </c>
      <c r="G153">
        <v>600</v>
      </c>
      <c r="H153">
        <v>3</v>
      </c>
      <c r="N153">
        <v>0.27807048400000001</v>
      </c>
      <c r="R153">
        <v>3.12</v>
      </c>
      <c r="S153">
        <v>150</v>
      </c>
      <c r="T153">
        <v>600</v>
      </c>
      <c r="U153">
        <v>0</v>
      </c>
      <c r="W153">
        <v>0</v>
      </c>
      <c r="X153">
        <v>0</v>
      </c>
      <c r="Y153">
        <v>0</v>
      </c>
      <c r="Z153">
        <v>0</v>
      </c>
    </row>
    <row r="154" spans="1:26" x14ac:dyDescent="0.45">
      <c r="A154" t="s">
        <v>219</v>
      </c>
      <c r="B154" t="s">
        <v>30</v>
      </c>
      <c r="C154" t="s">
        <v>71</v>
      </c>
      <c r="D154" t="s">
        <v>38</v>
      </c>
      <c r="E154">
        <v>2030</v>
      </c>
      <c r="F154">
        <v>2060</v>
      </c>
      <c r="G154">
        <v>40</v>
      </c>
      <c r="H154">
        <v>3</v>
      </c>
      <c r="N154">
        <v>0.27534246600000001</v>
      </c>
      <c r="Q154">
        <v>0</v>
      </c>
      <c r="R154">
        <v>2.8</v>
      </c>
      <c r="S154">
        <v>50</v>
      </c>
      <c r="T154">
        <v>40</v>
      </c>
      <c r="U154">
        <v>0</v>
      </c>
      <c r="W154">
        <v>0</v>
      </c>
      <c r="X154">
        <v>0</v>
      </c>
      <c r="Y154">
        <v>0</v>
      </c>
      <c r="Z154">
        <v>0</v>
      </c>
    </row>
    <row r="155" spans="1:26" x14ac:dyDescent="0.45">
      <c r="A155" t="s">
        <v>220</v>
      </c>
      <c r="B155" t="s">
        <v>48</v>
      </c>
      <c r="C155" t="s">
        <v>66</v>
      </c>
      <c r="D155" t="s">
        <v>67</v>
      </c>
      <c r="E155">
        <v>2026</v>
      </c>
      <c r="F155">
        <v>2056</v>
      </c>
      <c r="G155">
        <v>70</v>
      </c>
      <c r="H155">
        <v>2</v>
      </c>
      <c r="R155">
        <v>0.8</v>
      </c>
      <c r="T155">
        <v>70</v>
      </c>
      <c r="Y155">
        <v>1</v>
      </c>
    </row>
    <row r="156" spans="1:26" x14ac:dyDescent="0.45">
      <c r="A156" t="s">
        <v>221</v>
      </c>
      <c r="B156" t="s">
        <v>48</v>
      </c>
      <c r="C156" t="s">
        <v>66</v>
      </c>
      <c r="D156" t="s">
        <v>67</v>
      </c>
      <c r="E156">
        <v>2031</v>
      </c>
      <c r="F156">
        <v>2060</v>
      </c>
      <c r="G156">
        <v>8000</v>
      </c>
      <c r="H156">
        <v>3</v>
      </c>
      <c r="R156">
        <v>0.8</v>
      </c>
      <c r="T156">
        <v>150</v>
      </c>
      <c r="Y156">
        <v>1</v>
      </c>
    </row>
    <row r="157" spans="1:26" x14ac:dyDescent="0.45">
      <c r="A157" t="s">
        <v>222</v>
      </c>
      <c r="B157" t="s">
        <v>48</v>
      </c>
      <c r="C157" t="s">
        <v>66</v>
      </c>
      <c r="D157" t="s">
        <v>67</v>
      </c>
      <c r="E157">
        <v>2029</v>
      </c>
      <c r="F157">
        <v>2059</v>
      </c>
      <c r="G157">
        <v>80</v>
      </c>
      <c r="H157">
        <v>2</v>
      </c>
      <c r="R157">
        <v>0.8</v>
      </c>
      <c r="T157">
        <v>50</v>
      </c>
      <c r="Y157">
        <v>1</v>
      </c>
    </row>
    <row r="158" spans="1:26" x14ac:dyDescent="0.45">
      <c r="A158" t="s">
        <v>223</v>
      </c>
      <c r="B158" t="s">
        <v>48</v>
      </c>
      <c r="C158" t="s">
        <v>96</v>
      </c>
      <c r="D158" t="s">
        <v>97</v>
      </c>
      <c r="E158">
        <v>2027</v>
      </c>
      <c r="F158">
        <v>2057</v>
      </c>
      <c r="G158">
        <v>40</v>
      </c>
      <c r="H158">
        <v>2</v>
      </c>
      <c r="K158">
        <v>1</v>
      </c>
      <c r="L158">
        <v>1</v>
      </c>
      <c r="R158">
        <v>1.3</v>
      </c>
      <c r="T158">
        <v>40</v>
      </c>
      <c r="Y158">
        <v>1</v>
      </c>
    </row>
    <row r="159" spans="1:26" x14ac:dyDescent="0.45">
      <c r="A159" t="s">
        <v>224</v>
      </c>
      <c r="B159" t="s">
        <v>48</v>
      </c>
      <c r="C159" t="s">
        <v>37</v>
      </c>
      <c r="D159" t="s">
        <v>38</v>
      </c>
      <c r="E159">
        <v>1975</v>
      </c>
      <c r="F159">
        <v>2060</v>
      </c>
      <c r="G159">
        <v>347</v>
      </c>
      <c r="H159">
        <v>1</v>
      </c>
      <c r="N159">
        <v>0.17499999999999999</v>
      </c>
      <c r="Q159">
        <v>0</v>
      </c>
      <c r="R159">
        <v>0</v>
      </c>
      <c r="S159">
        <v>50</v>
      </c>
      <c r="U159">
        <v>0</v>
      </c>
      <c r="W159">
        <v>0</v>
      </c>
      <c r="X159">
        <v>0</v>
      </c>
      <c r="Y159">
        <v>0</v>
      </c>
      <c r="Z159">
        <v>0</v>
      </c>
    </row>
    <row r="160" spans="1:26" x14ac:dyDescent="0.45">
      <c r="A160" t="s">
        <v>225</v>
      </c>
      <c r="B160" t="s">
        <v>95</v>
      </c>
      <c r="C160" t="s">
        <v>66</v>
      </c>
      <c r="D160" t="s">
        <v>67</v>
      </c>
      <c r="E160">
        <v>2028</v>
      </c>
      <c r="F160">
        <v>2060</v>
      </c>
      <c r="G160">
        <v>200</v>
      </c>
      <c r="H160">
        <v>2</v>
      </c>
      <c r="R160">
        <v>0.8</v>
      </c>
      <c r="T160">
        <v>200</v>
      </c>
      <c r="Y160">
        <v>1</v>
      </c>
    </row>
    <row r="161" spans="1:26" x14ac:dyDescent="0.45">
      <c r="A161" t="s">
        <v>226</v>
      </c>
      <c r="B161" t="s">
        <v>63</v>
      </c>
      <c r="C161" t="s">
        <v>66</v>
      </c>
      <c r="D161" t="s">
        <v>67</v>
      </c>
      <c r="E161">
        <v>2030</v>
      </c>
      <c r="F161">
        <v>2060</v>
      </c>
      <c r="G161">
        <v>100</v>
      </c>
      <c r="H161">
        <v>2</v>
      </c>
      <c r="R161">
        <v>0.8</v>
      </c>
      <c r="T161">
        <v>100</v>
      </c>
      <c r="Y161">
        <v>1</v>
      </c>
    </row>
    <row r="162" spans="1:26" x14ac:dyDescent="0.45">
      <c r="A162" t="s">
        <v>227</v>
      </c>
      <c r="B162" t="s">
        <v>95</v>
      </c>
      <c r="C162" t="s">
        <v>37</v>
      </c>
      <c r="D162" t="s">
        <v>38</v>
      </c>
      <c r="E162">
        <v>2031</v>
      </c>
      <c r="F162">
        <v>2111</v>
      </c>
      <c r="G162">
        <v>69</v>
      </c>
      <c r="H162">
        <v>2</v>
      </c>
      <c r="N162">
        <v>0.31</v>
      </c>
      <c r="R162">
        <v>3.12</v>
      </c>
      <c r="S162">
        <v>50</v>
      </c>
      <c r="T162">
        <v>69</v>
      </c>
      <c r="U162">
        <v>0</v>
      </c>
      <c r="W162">
        <v>0</v>
      </c>
      <c r="X162">
        <v>0</v>
      </c>
      <c r="Y162">
        <v>0</v>
      </c>
      <c r="Z162">
        <v>0</v>
      </c>
    </row>
    <row r="163" spans="1:26" x14ac:dyDescent="0.45">
      <c r="A163" t="s">
        <v>228</v>
      </c>
      <c r="B163" t="s">
        <v>106</v>
      </c>
      <c r="C163" t="s">
        <v>37</v>
      </c>
      <c r="D163" t="s">
        <v>38</v>
      </c>
      <c r="E163">
        <v>2035</v>
      </c>
      <c r="F163">
        <v>2110</v>
      </c>
      <c r="G163">
        <v>120</v>
      </c>
      <c r="H163">
        <v>2</v>
      </c>
      <c r="N163">
        <v>0.40644013800000001</v>
      </c>
      <c r="Q163">
        <v>0</v>
      </c>
      <c r="R163">
        <v>4.2488372090000004</v>
      </c>
      <c r="S163">
        <v>50</v>
      </c>
      <c r="T163">
        <v>120</v>
      </c>
      <c r="U163">
        <v>0</v>
      </c>
      <c r="W163">
        <v>0</v>
      </c>
      <c r="X163">
        <v>0</v>
      </c>
      <c r="Y163">
        <v>0</v>
      </c>
      <c r="Z163">
        <v>0</v>
      </c>
    </row>
    <row r="164" spans="1:26" x14ac:dyDescent="0.45">
      <c r="A164" t="s">
        <v>229</v>
      </c>
      <c r="B164" t="s">
        <v>26</v>
      </c>
      <c r="C164" t="s">
        <v>43</v>
      </c>
      <c r="D164" t="s">
        <v>44</v>
      </c>
      <c r="E164">
        <v>2012</v>
      </c>
      <c r="F164">
        <v>2062</v>
      </c>
      <c r="G164">
        <v>280</v>
      </c>
      <c r="H164">
        <v>1</v>
      </c>
      <c r="I164">
        <v>0.2</v>
      </c>
      <c r="J164">
        <v>9.9909389970000007</v>
      </c>
      <c r="K164">
        <v>0.1</v>
      </c>
      <c r="L164">
        <v>0.1</v>
      </c>
      <c r="N164">
        <v>0.2</v>
      </c>
      <c r="U164">
        <v>0</v>
      </c>
      <c r="V164">
        <v>7</v>
      </c>
      <c r="W164">
        <v>10.690939</v>
      </c>
      <c r="X164">
        <v>0.05</v>
      </c>
      <c r="Y164">
        <v>0</v>
      </c>
      <c r="Z164">
        <v>0</v>
      </c>
    </row>
    <row r="165" spans="1:26" x14ac:dyDescent="0.45">
      <c r="A165" t="s">
        <v>230</v>
      </c>
      <c r="B165" t="s">
        <v>26</v>
      </c>
      <c r="C165" t="s">
        <v>31</v>
      </c>
      <c r="D165" t="s">
        <v>32</v>
      </c>
      <c r="E165">
        <v>2010</v>
      </c>
      <c r="F165">
        <v>2060</v>
      </c>
      <c r="G165">
        <v>130</v>
      </c>
      <c r="H165">
        <v>1</v>
      </c>
      <c r="J165">
        <v>12.08277112</v>
      </c>
      <c r="K165">
        <v>0.33</v>
      </c>
      <c r="L165">
        <v>0.33</v>
      </c>
      <c r="R165">
        <v>0</v>
      </c>
      <c r="U165">
        <v>0</v>
      </c>
      <c r="W165">
        <v>0</v>
      </c>
      <c r="X165">
        <v>0.05</v>
      </c>
      <c r="Y165">
        <v>0</v>
      </c>
      <c r="Z165">
        <v>130</v>
      </c>
    </row>
    <row r="166" spans="1:26" x14ac:dyDescent="0.45">
      <c r="A166" t="s">
        <v>231</v>
      </c>
      <c r="B166" t="s">
        <v>26</v>
      </c>
      <c r="C166" t="s">
        <v>43</v>
      </c>
      <c r="D166" t="s">
        <v>44</v>
      </c>
      <c r="E166">
        <v>2010</v>
      </c>
      <c r="F166">
        <v>2060</v>
      </c>
      <c r="G166">
        <v>280</v>
      </c>
      <c r="H166">
        <v>1</v>
      </c>
      <c r="I166">
        <v>0.2</v>
      </c>
      <c r="J166">
        <v>9.75</v>
      </c>
      <c r="K166">
        <v>0.1</v>
      </c>
      <c r="L166">
        <v>0.1</v>
      </c>
      <c r="N166">
        <v>0.2</v>
      </c>
      <c r="U166">
        <v>0</v>
      </c>
      <c r="V166">
        <v>7</v>
      </c>
      <c r="W166">
        <v>12.19796803</v>
      </c>
      <c r="X166">
        <v>0.05</v>
      </c>
      <c r="Y166">
        <v>0</v>
      </c>
      <c r="Z166">
        <v>0</v>
      </c>
    </row>
    <row r="167" spans="1:26" x14ac:dyDescent="0.45">
      <c r="A167" t="s">
        <v>232</v>
      </c>
      <c r="B167" t="s">
        <v>26</v>
      </c>
      <c r="C167" t="s">
        <v>31</v>
      </c>
      <c r="D167" t="s">
        <v>32</v>
      </c>
      <c r="E167">
        <v>1985</v>
      </c>
      <c r="F167">
        <v>2040</v>
      </c>
      <c r="G167">
        <v>3510</v>
      </c>
      <c r="H167">
        <v>1</v>
      </c>
      <c r="J167">
        <v>12.8</v>
      </c>
      <c r="K167">
        <v>0.33</v>
      </c>
      <c r="L167">
        <v>0.33</v>
      </c>
      <c r="R167">
        <v>0</v>
      </c>
      <c r="U167">
        <v>0</v>
      </c>
      <c r="W167">
        <v>0</v>
      </c>
      <c r="X167">
        <v>0.05</v>
      </c>
      <c r="Y167">
        <v>0</v>
      </c>
      <c r="Z167">
        <v>610</v>
      </c>
    </row>
    <row r="168" spans="1:26" x14ac:dyDescent="0.45">
      <c r="A168" t="s">
        <v>233</v>
      </c>
      <c r="B168" t="s">
        <v>26</v>
      </c>
      <c r="C168" t="s">
        <v>37</v>
      </c>
      <c r="D168" t="s">
        <v>38</v>
      </c>
      <c r="E168">
        <v>1977</v>
      </c>
      <c r="F168">
        <v>2060</v>
      </c>
      <c r="G168">
        <v>240</v>
      </c>
      <c r="H168">
        <v>1</v>
      </c>
      <c r="N168">
        <v>0.185</v>
      </c>
      <c r="Q168">
        <v>0</v>
      </c>
      <c r="R168">
        <v>0</v>
      </c>
      <c r="S168">
        <v>50</v>
      </c>
      <c r="U168">
        <v>0</v>
      </c>
      <c r="W168">
        <v>0</v>
      </c>
      <c r="X168">
        <v>0</v>
      </c>
      <c r="Y168">
        <v>0</v>
      </c>
      <c r="Z168">
        <v>0</v>
      </c>
    </row>
    <row r="169" spans="1:26" x14ac:dyDescent="0.45">
      <c r="A169" t="s">
        <v>234</v>
      </c>
      <c r="B169" t="s">
        <v>26</v>
      </c>
      <c r="C169" t="s">
        <v>31</v>
      </c>
      <c r="D169" t="s">
        <v>32</v>
      </c>
      <c r="E169">
        <v>2024</v>
      </c>
      <c r="F169">
        <v>2074</v>
      </c>
      <c r="G169">
        <v>1440</v>
      </c>
      <c r="H169">
        <v>1</v>
      </c>
      <c r="I169">
        <v>0.3</v>
      </c>
      <c r="J169">
        <v>11.8</v>
      </c>
      <c r="K169">
        <v>0.33</v>
      </c>
      <c r="L169">
        <v>0.33</v>
      </c>
      <c r="T169">
        <v>1440</v>
      </c>
      <c r="U169">
        <v>0</v>
      </c>
      <c r="W169">
        <v>0</v>
      </c>
      <c r="X169">
        <v>0.05</v>
      </c>
      <c r="Y169">
        <v>0</v>
      </c>
      <c r="Z169">
        <v>800</v>
      </c>
    </row>
    <row r="170" spans="1:26" x14ac:dyDescent="0.45">
      <c r="A170" t="s">
        <v>235</v>
      </c>
      <c r="B170" t="s">
        <v>26</v>
      </c>
      <c r="C170" t="s">
        <v>66</v>
      </c>
      <c r="D170" t="s">
        <v>67</v>
      </c>
      <c r="E170">
        <v>2025</v>
      </c>
      <c r="F170">
        <v>2055</v>
      </c>
      <c r="G170">
        <v>1209</v>
      </c>
      <c r="H170">
        <v>2</v>
      </c>
      <c r="R170">
        <v>0.8</v>
      </c>
      <c r="T170">
        <v>1209</v>
      </c>
      <c r="Y170">
        <v>1</v>
      </c>
    </row>
    <row r="171" spans="1:26" x14ac:dyDescent="0.45">
      <c r="A171" t="s">
        <v>236</v>
      </c>
      <c r="B171" t="s">
        <v>26</v>
      </c>
      <c r="C171" t="s">
        <v>66</v>
      </c>
      <c r="D171" t="s">
        <v>67</v>
      </c>
      <c r="E171">
        <v>2026</v>
      </c>
      <c r="F171">
        <v>2056</v>
      </c>
      <c r="G171">
        <v>3328</v>
      </c>
      <c r="H171">
        <v>3</v>
      </c>
      <c r="R171">
        <v>0.8</v>
      </c>
      <c r="T171">
        <v>400</v>
      </c>
      <c r="Y171">
        <v>1</v>
      </c>
    </row>
    <row r="172" spans="1:26" x14ac:dyDescent="0.45">
      <c r="A172" t="s">
        <v>237</v>
      </c>
      <c r="B172" t="s">
        <v>76</v>
      </c>
      <c r="C172" t="s">
        <v>43</v>
      </c>
      <c r="D172" t="s">
        <v>44</v>
      </c>
      <c r="E172">
        <v>2028</v>
      </c>
      <c r="F172">
        <v>2058</v>
      </c>
      <c r="G172">
        <v>450</v>
      </c>
      <c r="H172">
        <v>2</v>
      </c>
      <c r="I172">
        <v>0.2</v>
      </c>
      <c r="J172">
        <v>9.75</v>
      </c>
      <c r="K172">
        <v>0.1</v>
      </c>
      <c r="L172">
        <v>0.1</v>
      </c>
      <c r="N172">
        <v>0.2</v>
      </c>
      <c r="Q172">
        <v>0</v>
      </c>
      <c r="R172">
        <v>1.25</v>
      </c>
      <c r="T172">
        <v>450</v>
      </c>
      <c r="U172">
        <v>0</v>
      </c>
      <c r="X172">
        <v>0.05</v>
      </c>
      <c r="Y172">
        <v>0</v>
      </c>
      <c r="Z172">
        <v>0</v>
      </c>
    </row>
    <row r="173" spans="1:26" x14ac:dyDescent="0.45">
      <c r="A173" t="s">
        <v>238</v>
      </c>
      <c r="B173" t="s">
        <v>26</v>
      </c>
      <c r="C173" t="s">
        <v>66</v>
      </c>
      <c r="D173" t="s">
        <v>67</v>
      </c>
      <c r="E173">
        <v>2027</v>
      </c>
      <c r="F173">
        <v>2057</v>
      </c>
      <c r="G173">
        <v>2526</v>
      </c>
      <c r="H173">
        <v>3</v>
      </c>
      <c r="R173">
        <v>0.8</v>
      </c>
      <c r="T173">
        <v>400</v>
      </c>
      <c r="Y173">
        <v>1</v>
      </c>
    </row>
    <row r="174" spans="1:26" x14ac:dyDescent="0.45">
      <c r="A174" t="s">
        <v>239</v>
      </c>
      <c r="B174" t="s">
        <v>26</v>
      </c>
      <c r="C174" t="s">
        <v>66</v>
      </c>
      <c r="D174" t="s">
        <v>67</v>
      </c>
      <c r="E174">
        <v>2029</v>
      </c>
      <c r="F174">
        <v>2056</v>
      </c>
      <c r="G174">
        <v>24</v>
      </c>
      <c r="H174">
        <v>2</v>
      </c>
      <c r="R174">
        <v>0.8</v>
      </c>
      <c r="T174">
        <v>500</v>
      </c>
      <c r="Y174">
        <v>1</v>
      </c>
    </row>
    <row r="175" spans="1:26" x14ac:dyDescent="0.45">
      <c r="A175" t="s">
        <v>240</v>
      </c>
      <c r="B175" t="s">
        <v>26</v>
      </c>
      <c r="C175" t="s">
        <v>66</v>
      </c>
      <c r="D175" t="s">
        <v>67</v>
      </c>
      <c r="E175">
        <v>2025</v>
      </c>
      <c r="F175">
        <v>2055</v>
      </c>
      <c r="G175">
        <v>150</v>
      </c>
      <c r="H175">
        <v>2</v>
      </c>
      <c r="R175">
        <v>0.8</v>
      </c>
      <c r="T175">
        <v>500</v>
      </c>
      <c r="Y175">
        <v>1</v>
      </c>
    </row>
    <row r="176" spans="1:26" x14ac:dyDescent="0.45">
      <c r="A176" t="s">
        <v>241</v>
      </c>
      <c r="B176" t="s">
        <v>26</v>
      </c>
      <c r="C176" t="s">
        <v>66</v>
      </c>
      <c r="D176" t="s">
        <v>67</v>
      </c>
      <c r="E176">
        <v>2026</v>
      </c>
      <c r="F176">
        <v>2056</v>
      </c>
      <c r="G176">
        <v>225</v>
      </c>
      <c r="H176">
        <v>2</v>
      </c>
      <c r="R176">
        <v>0.8</v>
      </c>
      <c r="T176">
        <v>500</v>
      </c>
      <c r="Y176">
        <v>1</v>
      </c>
    </row>
    <row r="177" spans="1:26" x14ac:dyDescent="0.45">
      <c r="A177" t="s">
        <v>242</v>
      </c>
      <c r="B177" t="s">
        <v>26</v>
      </c>
      <c r="C177" t="s">
        <v>66</v>
      </c>
      <c r="D177" t="s">
        <v>67</v>
      </c>
      <c r="E177">
        <v>2028</v>
      </c>
      <c r="F177">
        <v>2058</v>
      </c>
      <c r="G177">
        <v>1760</v>
      </c>
      <c r="H177">
        <v>3</v>
      </c>
      <c r="R177">
        <v>0.8</v>
      </c>
      <c r="T177">
        <v>400</v>
      </c>
      <c r="Y177">
        <v>1</v>
      </c>
    </row>
    <row r="178" spans="1:26" x14ac:dyDescent="0.45">
      <c r="A178" t="s">
        <v>243</v>
      </c>
      <c r="B178" t="s">
        <v>26</v>
      </c>
      <c r="C178" t="s">
        <v>66</v>
      </c>
      <c r="D178" t="s">
        <v>67</v>
      </c>
      <c r="E178">
        <v>2029</v>
      </c>
      <c r="F178">
        <v>2059</v>
      </c>
      <c r="G178">
        <v>1690</v>
      </c>
      <c r="H178">
        <v>3</v>
      </c>
      <c r="R178">
        <v>0.8</v>
      </c>
      <c r="T178">
        <v>400</v>
      </c>
      <c r="Y178">
        <v>1</v>
      </c>
    </row>
    <row r="179" spans="1:26" x14ac:dyDescent="0.45">
      <c r="A179" t="s">
        <v>244</v>
      </c>
      <c r="B179" t="s">
        <v>26</v>
      </c>
      <c r="C179" t="s">
        <v>66</v>
      </c>
      <c r="D179" t="s">
        <v>67</v>
      </c>
      <c r="E179">
        <v>2030</v>
      </c>
      <c r="F179">
        <v>2060</v>
      </c>
      <c r="G179">
        <v>800</v>
      </c>
      <c r="H179">
        <v>2</v>
      </c>
      <c r="R179">
        <v>0.8</v>
      </c>
      <c r="T179">
        <v>800</v>
      </c>
      <c r="Y179">
        <v>1</v>
      </c>
    </row>
    <row r="180" spans="1:26" x14ac:dyDescent="0.45">
      <c r="A180" t="s">
        <v>245</v>
      </c>
      <c r="B180" t="s">
        <v>26</v>
      </c>
      <c r="C180" t="s">
        <v>66</v>
      </c>
      <c r="D180" t="s">
        <v>67</v>
      </c>
      <c r="E180">
        <v>2027</v>
      </c>
      <c r="F180">
        <v>2057</v>
      </c>
      <c r="G180">
        <v>360</v>
      </c>
      <c r="H180">
        <v>2</v>
      </c>
      <c r="R180">
        <v>0.8</v>
      </c>
      <c r="T180">
        <v>500</v>
      </c>
      <c r="Y180">
        <v>1</v>
      </c>
    </row>
    <row r="181" spans="1:26" x14ac:dyDescent="0.45">
      <c r="A181" t="s">
        <v>246</v>
      </c>
      <c r="B181" t="s">
        <v>26</v>
      </c>
      <c r="C181" t="s">
        <v>96</v>
      </c>
      <c r="D181" t="s">
        <v>97</v>
      </c>
      <c r="E181">
        <v>2028</v>
      </c>
      <c r="F181">
        <v>2060</v>
      </c>
      <c r="G181">
        <v>70</v>
      </c>
      <c r="H181">
        <v>2</v>
      </c>
      <c r="K181">
        <v>1</v>
      </c>
      <c r="L181">
        <v>1</v>
      </c>
      <c r="R181">
        <v>1.3</v>
      </c>
      <c r="T181">
        <v>1500</v>
      </c>
      <c r="Y181">
        <v>1</v>
      </c>
    </row>
    <row r="182" spans="1:26" x14ac:dyDescent="0.45">
      <c r="A182" t="s">
        <v>247</v>
      </c>
      <c r="B182" t="s">
        <v>82</v>
      </c>
      <c r="C182" t="s">
        <v>43</v>
      </c>
      <c r="D182" t="s">
        <v>44</v>
      </c>
      <c r="E182">
        <v>2034</v>
      </c>
      <c r="F182">
        <v>2082</v>
      </c>
      <c r="G182">
        <v>500</v>
      </c>
      <c r="H182">
        <v>3</v>
      </c>
      <c r="I182">
        <v>0.2</v>
      </c>
      <c r="J182">
        <v>9.75</v>
      </c>
      <c r="K182">
        <v>0.1</v>
      </c>
      <c r="L182">
        <v>0.1</v>
      </c>
      <c r="N182">
        <v>0.2</v>
      </c>
      <c r="Q182">
        <v>0</v>
      </c>
      <c r="R182">
        <v>1.2450805009999999</v>
      </c>
      <c r="T182">
        <v>200</v>
      </c>
      <c r="U182">
        <v>0</v>
      </c>
      <c r="X182">
        <v>0.05</v>
      </c>
      <c r="Y182">
        <v>0</v>
      </c>
      <c r="Z182">
        <v>0</v>
      </c>
    </row>
    <row r="183" spans="1:26" x14ac:dyDescent="0.45">
      <c r="A183" t="s">
        <v>248</v>
      </c>
      <c r="B183" t="s">
        <v>26</v>
      </c>
      <c r="C183" t="s">
        <v>96</v>
      </c>
      <c r="D183" t="s">
        <v>97</v>
      </c>
      <c r="E183">
        <v>2025</v>
      </c>
      <c r="F183">
        <v>2055</v>
      </c>
      <c r="G183">
        <v>301</v>
      </c>
      <c r="H183">
        <v>2</v>
      </c>
      <c r="K183">
        <v>1</v>
      </c>
      <c r="L183">
        <v>1</v>
      </c>
      <c r="R183">
        <v>1.3</v>
      </c>
      <c r="T183">
        <v>1500</v>
      </c>
      <c r="Y183">
        <v>1</v>
      </c>
    </row>
    <row r="184" spans="1:26" x14ac:dyDescent="0.45">
      <c r="A184" t="s">
        <v>249</v>
      </c>
      <c r="B184" t="s">
        <v>33</v>
      </c>
      <c r="C184" t="s">
        <v>66</v>
      </c>
      <c r="D184" t="s">
        <v>67</v>
      </c>
      <c r="E184">
        <v>2022</v>
      </c>
      <c r="F184">
        <v>2052</v>
      </c>
      <c r="G184">
        <v>81</v>
      </c>
      <c r="H184">
        <v>1</v>
      </c>
      <c r="J184">
        <v>0</v>
      </c>
      <c r="R184">
        <v>0</v>
      </c>
      <c r="T184">
        <v>0</v>
      </c>
      <c r="U184">
        <v>0</v>
      </c>
      <c r="W184">
        <v>0</v>
      </c>
      <c r="X184">
        <v>0</v>
      </c>
      <c r="Y184">
        <v>1</v>
      </c>
      <c r="Z184">
        <v>0</v>
      </c>
    </row>
    <row r="185" spans="1:26" x14ac:dyDescent="0.45">
      <c r="A185" t="s">
        <v>250</v>
      </c>
      <c r="B185" t="s">
        <v>26</v>
      </c>
      <c r="C185" t="s">
        <v>96</v>
      </c>
      <c r="D185" t="s">
        <v>97</v>
      </c>
      <c r="E185">
        <v>2026</v>
      </c>
      <c r="F185">
        <v>2056</v>
      </c>
      <c r="G185">
        <v>964</v>
      </c>
      <c r="H185">
        <v>2</v>
      </c>
      <c r="K185">
        <v>1</v>
      </c>
      <c r="L185">
        <v>1</v>
      </c>
      <c r="R185">
        <v>1.3</v>
      </c>
      <c r="T185">
        <v>1500</v>
      </c>
      <c r="Y185">
        <v>1</v>
      </c>
    </row>
    <row r="186" spans="1:26" x14ac:dyDescent="0.45">
      <c r="A186" t="s">
        <v>251</v>
      </c>
      <c r="B186" t="s">
        <v>26</v>
      </c>
      <c r="C186" t="s">
        <v>96</v>
      </c>
      <c r="D186" t="s">
        <v>97</v>
      </c>
      <c r="E186">
        <v>2027</v>
      </c>
      <c r="F186">
        <v>2057</v>
      </c>
      <c r="G186">
        <v>2847</v>
      </c>
      <c r="H186">
        <v>2</v>
      </c>
      <c r="K186">
        <v>1</v>
      </c>
      <c r="L186">
        <v>1</v>
      </c>
      <c r="R186">
        <v>1.3</v>
      </c>
      <c r="T186">
        <v>2847</v>
      </c>
      <c r="Y186">
        <v>1</v>
      </c>
    </row>
    <row r="187" spans="1:26" x14ac:dyDescent="0.45">
      <c r="A187" t="s">
        <v>252</v>
      </c>
      <c r="B187" t="s">
        <v>26</v>
      </c>
      <c r="C187" t="s">
        <v>96</v>
      </c>
      <c r="D187" t="s">
        <v>97</v>
      </c>
      <c r="E187">
        <v>2028</v>
      </c>
      <c r="F187">
        <v>2058</v>
      </c>
      <c r="G187">
        <v>700</v>
      </c>
      <c r="H187">
        <v>2</v>
      </c>
      <c r="K187">
        <v>1</v>
      </c>
      <c r="L187">
        <v>1</v>
      </c>
      <c r="R187">
        <v>1.3</v>
      </c>
      <c r="T187">
        <v>1500</v>
      </c>
      <c r="Y187">
        <v>1</v>
      </c>
    </row>
    <row r="188" spans="1:26" x14ac:dyDescent="0.45">
      <c r="A188" t="s">
        <v>253</v>
      </c>
      <c r="B188" t="s">
        <v>70</v>
      </c>
      <c r="C188" t="s">
        <v>66</v>
      </c>
      <c r="D188" t="s">
        <v>67</v>
      </c>
      <c r="E188">
        <v>2019</v>
      </c>
      <c r="F188">
        <v>2060</v>
      </c>
      <c r="G188">
        <v>123</v>
      </c>
      <c r="H188">
        <v>1</v>
      </c>
      <c r="J188">
        <v>0</v>
      </c>
      <c r="R188">
        <v>0</v>
      </c>
      <c r="U188">
        <v>0</v>
      </c>
      <c r="W188">
        <v>0</v>
      </c>
      <c r="X188">
        <v>0</v>
      </c>
      <c r="Y188">
        <v>1</v>
      </c>
      <c r="Z188">
        <v>0</v>
      </c>
    </row>
    <row r="189" spans="1:26" x14ac:dyDescent="0.45">
      <c r="A189" t="s">
        <v>254</v>
      </c>
      <c r="B189" t="s">
        <v>102</v>
      </c>
      <c r="C189" t="s">
        <v>71</v>
      </c>
      <c r="D189" t="s">
        <v>38</v>
      </c>
      <c r="E189">
        <v>2035</v>
      </c>
      <c r="F189">
        <v>2111</v>
      </c>
      <c r="G189">
        <v>23</v>
      </c>
      <c r="H189">
        <v>3</v>
      </c>
      <c r="N189">
        <v>0.1835</v>
      </c>
      <c r="Q189">
        <v>0</v>
      </c>
      <c r="R189">
        <v>2.8</v>
      </c>
      <c r="T189">
        <v>13</v>
      </c>
    </row>
    <row r="190" spans="1:26" x14ac:dyDescent="0.45">
      <c r="A190" t="s">
        <v>255</v>
      </c>
      <c r="B190" t="s">
        <v>33</v>
      </c>
      <c r="C190" t="s">
        <v>71</v>
      </c>
      <c r="D190" t="s">
        <v>38</v>
      </c>
      <c r="E190">
        <v>2000</v>
      </c>
      <c r="F190">
        <v>2080</v>
      </c>
      <c r="G190">
        <v>248</v>
      </c>
      <c r="H190">
        <v>1</v>
      </c>
      <c r="N190">
        <v>0.32507730600000001</v>
      </c>
      <c r="Q190">
        <v>0</v>
      </c>
      <c r="R190">
        <v>0</v>
      </c>
      <c r="S190">
        <v>50</v>
      </c>
      <c r="T190">
        <v>0</v>
      </c>
      <c r="U190">
        <v>0</v>
      </c>
      <c r="W190">
        <v>0</v>
      </c>
      <c r="X190">
        <v>0</v>
      </c>
      <c r="Y190">
        <v>0</v>
      </c>
      <c r="Z190">
        <v>0</v>
      </c>
    </row>
    <row r="191" spans="1:26" x14ac:dyDescent="0.45">
      <c r="A191" t="s">
        <v>256</v>
      </c>
      <c r="B191" t="s">
        <v>48</v>
      </c>
      <c r="C191" t="s">
        <v>96</v>
      </c>
      <c r="D191" t="s">
        <v>97</v>
      </c>
      <c r="E191">
        <v>2030</v>
      </c>
      <c r="F191">
        <v>2062</v>
      </c>
      <c r="G191">
        <v>100</v>
      </c>
      <c r="H191">
        <v>3</v>
      </c>
      <c r="K191">
        <v>1</v>
      </c>
      <c r="L191">
        <v>1</v>
      </c>
      <c r="R191">
        <v>1.3</v>
      </c>
      <c r="T191">
        <v>25</v>
      </c>
      <c r="Y191">
        <v>1</v>
      </c>
    </row>
    <row r="192" spans="1:26" x14ac:dyDescent="0.45">
      <c r="A192" t="s">
        <v>257</v>
      </c>
      <c r="B192" t="s">
        <v>26</v>
      </c>
      <c r="C192" t="s">
        <v>96</v>
      </c>
      <c r="D192" t="s">
        <v>97</v>
      </c>
      <c r="E192">
        <v>2029</v>
      </c>
      <c r="F192">
        <v>2059</v>
      </c>
      <c r="G192">
        <v>760</v>
      </c>
      <c r="H192">
        <v>2</v>
      </c>
      <c r="K192">
        <v>1</v>
      </c>
      <c r="L192">
        <v>1</v>
      </c>
      <c r="R192">
        <v>1.3</v>
      </c>
      <c r="T192">
        <v>1500</v>
      </c>
      <c r="Y192">
        <v>1</v>
      </c>
    </row>
    <row r="193" spans="1:26" x14ac:dyDescent="0.45">
      <c r="A193" t="s">
        <v>258</v>
      </c>
      <c r="B193" t="s">
        <v>26</v>
      </c>
      <c r="C193" t="s">
        <v>96</v>
      </c>
      <c r="D193" t="s">
        <v>97</v>
      </c>
      <c r="E193">
        <v>2030</v>
      </c>
      <c r="F193">
        <v>2060</v>
      </c>
      <c r="G193">
        <v>2000</v>
      </c>
      <c r="H193">
        <v>2</v>
      </c>
      <c r="K193">
        <v>1</v>
      </c>
      <c r="L193">
        <v>1</v>
      </c>
      <c r="R193">
        <v>1.3</v>
      </c>
      <c r="T193">
        <v>2000</v>
      </c>
      <c r="Y193">
        <v>1</v>
      </c>
    </row>
    <row r="194" spans="1:26" x14ac:dyDescent="0.45">
      <c r="A194" t="s">
        <v>259</v>
      </c>
      <c r="B194" t="s">
        <v>48</v>
      </c>
      <c r="C194" t="s">
        <v>31</v>
      </c>
      <c r="D194" t="s">
        <v>32</v>
      </c>
      <c r="E194">
        <v>1972</v>
      </c>
      <c r="F194">
        <v>2027</v>
      </c>
      <c r="G194">
        <v>50</v>
      </c>
      <c r="H194">
        <v>1</v>
      </c>
      <c r="J194">
        <v>15.9</v>
      </c>
      <c r="K194">
        <v>0.33</v>
      </c>
      <c r="L194">
        <v>0.33</v>
      </c>
      <c r="R194">
        <v>0</v>
      </c>
      <c r="S194">
        <v>50</v>
      </c>
      <c r="U194">
        <v>0</v>
      </c>
      <c r="W194">
        <v>0</v>
      </c>
      <c r="X194">
        <v>0.1</v>
      </c>
      <c r="Y194">
        <v>0</v>
      </c>
      <c r="Z194">
        <v>33</v>
      </c>
    </row>
    <row r="195" spans="1:26" x14ac:dyDescent="0.45">
      <c r="A195" t="s">
        <v>260</v>
      </c>
      <c r="B195" t="s">
        <v>33</v>
      </c>
      <c r="C195" t="s">
        <v>71</v>
      </c>
      <c r="D195" t="s">
        <v>38</v>
      </c>
      <c r="E195">
        <v>2030</v>
      </c>
      <c r="F195">
        <v>2100</v>
      </c>
      <c r="G195">
        <v>51</v>
      </c>
      <c r="H195">
        <v>3</v>
      </c>
      <c r="N195">
        <v>0.32507730600000001</v>
      </c>
      <c r="R195">
        <v>3.4449999999999998</v>
      </c>
      <c r="T195">
        <v>261</v>
      </c>
      <c r="U195">
        <v>0</v>
      </c>
      <c r="W195">
        <v>0</v>
      </c>
      <c r="X195">
        <v>0</v>
      </c>
      <c r="Y195">
        <v>0</v>
      </c>
      <c r="Z195">
        <v>0</v>
      </c>
    </row>
    <row r="196" spans="1:26" x14ac:dyDescent="0.45">
      <c r="A196" t="s">
        <v>261</v>
      </c>
      <c r="B196" t="s">
        <v>33</v>
      </c>
      <c r="C196" t="s">
        <v>53</v>
      </c>
      <c r="D196" t="s">
        <v>44</v>
      </c>
      <c r="E196">
        <v>2038</v>
      </c>
      <c r="F196">
        <v>2060</v>
      </c>
      <c r="G196">
        <v>73</v>
      </c>
      <c r="H196">
        <v>3</v>
      </c>
      <c r="J196">
        <v>10</v>
      </c>
      <c r="K196">
        <v>0.3</v>
      </c>
      <c r="L196">
        <v>0.3</v>
      </c>
      <c r="R196">
        <v>0.9</v>
      </c>
      <c r="T196">
        <v>73</v>
      </c>
      <c r="U196">
        <v>0</v>
      </c>
      <c r="V196">
        <v>7</v>
      </c>
      <c r="W196">
        <v>9.6999999999999993</v>
      </c>
      <c r="X196">
        <v>0.05</v>
      </c>
      <c r="Y196">
        <v>0</v>
      </c>
    </row>
    <row r="197" spans="1:26" x14ac:dyDescent="0.45">
      <c r="A197" t="s">
        <v>262</v>
      </c>
      <c r="B197" t="s">
        <v>84</v>
      </c>
      <c r="C197" t="s">
        <v>31</v>
      </c>
      <c r="D197" t="s">
        <v>32</v>
      </c>
      <c r="E197">
        <v>2028</v>
      </c>
      <c r="F197">
        <v>2060</v>
      </c>
      <c r="G197">
        <v>1200</v>
      </c>
      <c r="H197">
        <v>3</v>
      </c>
      <c r="I197">
        <v>0.3</v>
      </c>
      <c r="J197">
        <v>9.73</v>
      </c>
      <c r="K197">
        <v>0.33</v>
      </c>
      <c r="L197">
        <v>0.33</v>
      </c>
      <c r="R197">
        <v>2.466504472</v>
      </c>
      <c r="T197">
        <v>300</v>
      </c>
      <c r="U197">
        <v>0</v>
      </c>
      <c r="W197">
        <v>0</v>
      </c>
      <c r="X197">
        <v>0.05</v>
      </c>
      <c r="Y197">
        <v>0</v>
      </c>
      <c r="Z197">
        <v>300</v>
      </c>
    </row>
    <row r="198" spans="1:26" x14ac:dyDescent="0.45">
      <c r="A198" t="s">
        <v>263</v>
      </c>
      <c r="B198" t="s">
        <v>33</v>
      </c>
      <c r="C198" t="s">
        <v>71</v>
      </c>
      <c r="D198" t="s">
        <v>38</v>
      </c>
      <c r="E198">
        <v>2027</v>
      </c>
      <c r="F198">
        <v>2107</v>
      </c>
      <c r="G198">
        <v>4.5</v>
      </c>
      <c r="H198">
        <v>2</v>
      </c>
      <c r="N198">
        <v>0.32507730600000001</v>
      </c>
      <c r="Q198">
        <v>0</v>
      </c>
      <c r="R198">
        <v>2.8</v>
      </c>
      <c r="T198">
        <v>4.5</v>
      </c>
    </row>
    <row r="199" spans="1:26" x14ac:dyDescent="0.45">
      <c r="A199" t="s">
        <v>264</v>
      </c>
      <c r="B199" t="s">
        <v>70</v>
      </c>
      <c r="C199" t="s">
        <v>27</v>
      </c>
      <c r="D199" t="s">
        <v>34</v>
      </c>
      <c r="E199">
        <v>2020</v>
      </c>
      <c r="F199">
        <v>2070</v>
      </c>
      <c r="G199">
        <v>84</v>
      </c>
      <c r="H199">
        <v>1</v>
      </c>
      <c r="J199">
        <v>9.6999999999999993</v>
      </c>
      <c r="K199">
        <v>1</v>
      </c>
      <c r="L199">
        <v>1</v>
      </c>
      <c r="M199">
        <v>0</v>
      </c>
      <c r="N199">
        <v>0.2</v>
      </c>
      <c r="Q199">
        <v>0</v>
      </c>
      <c r="R199">
        <v>0</v>
      </c>
      <c r="S199">
        <v>30</v>
      </c>
      <c r="T199">
        <v>0</v>
      </c>
      <c r="U199">
        <v>0</v>
      </c>
      <c r="W199">
        <v>0</v>
      </c>
      <c r="X199">
        <v>0</v>
      </c>
      <c r="Y199">
        <v>0</v>
      </c>
      <c r="Z199">
        <v>0</v>
      </c>
    </row>
    <row r="200" spans="1:26" x14ac:dyDescent="0.45">
      <c r="A200" t="s">
        <v>265</v>
      </c>
      <c r="B200" t="s">
        <v>30</v>
      </c>
      <c r="C200" t="s">
        <v>37</v>
      </c>
      <c r="D200" t="s">
        <v>38</v>
      </c>
      <c r="E200">
        <v>2037</v>
      </c>
      <c r="F200">
        <v>2115</v>
      </c>
      <c r="G200">
        <v>1200</v>
      </c>
      <c r="H200">
        <v>3</v>
      </c>
      <c r="N200">
        <v>0.27534246600000001</v>
      </c>
      <c r="R200">
        <v>3.12</v>
      </c>
      <c r="S200">
        <v>50</v>
      </c>
      <c r="T200">
        <v>600</v>
      </c>
      <c r="U200">
        <v>0</v>
      </c>
      <c r="W200">
        <v>0</v>
      </c>
      <c r="X200">
        <v>0</v>
      </c>
      <c r="Y200">
        <v>0</v>
      </c>
      <c r="Z200">
        <v>0</v>
      </c>
    </row>
    <row r="201" spans="1:26" x14ac:dyDescent="0.45">
      <c r="A201" t="s">
        <v>266</v>
      </c>
      <c r="B201" t="s">
        <v>26</v>
      </c>
      <c r="C201" t="s">
        <v>96</v>
      </c>
      <c r="D201" t="s">
        <v>97</v>
      </c>
      <c r="E201">
        <v>2025</v>
      </c>
      <c r="F201">
        <v>2055</v>
      </c>
      <c r="G201">
        <v>784</v>
      </c>
      <c r="H201">
        <v>2</v>
      </c>
      <c r="K201">
        <v>1</v>
      </c>
      <c r="L201">
        <v>1</v>
      </c>
      <c r="R201">
        <v>1.3</v>
      </c>
      <c r="T201">
        <v>1500</v>
      </c>
      <c r="Y201">
        <v>1</v>
      </c>
    </row>
    <row r="202" spans="1:26" x14ac:dyDescent="0.45">
      <c r="A202" t="s">
        <v>267</v>
      </c>
      <c r="B202" t="s">
        <v>26</v>
      </c>
      <c r="C202" t="s">
        <v>43</v>
      </c>
      <c r="D202" t="s">
        <v>44</v>
      </c>
      <c r="E202">
        <v>2029</v>
      </c>
      <c r="F202">
        <v>2059</v>
      </c>
      <c r="G202">
        <v>3000</v>
      </c>
      <c r="H202">
        <v>2</v>
      </c>
      <c r="I202">
        <v>0.2</v>
      </c>
      <c r="J202">
        <v>9.75</v>
      </c>
      <c r="K202">
        <v>0.1</v>
      </c>
      <c r="L202">
        <v>0.1</v>
      </c>
      <c r="N202">
        <v>0.2</v>
      </c>
      <c r="Q202">
        <v>0</v>
      </c>
      <c r="R202">
        <v>1.2450805009999999</v>
      </c>
      <c r="T202">
        <v>3000</v>
      </c>
      <c r="U202">
        <v>0</v>
      </c>
      <c r="X202">
        <v>0.05</v>
      </c>
      <c r="Y202">
        <v>0</v>
      </c>
      <c r="Z202">
        <v>0</v>
      </c>
    </row>
    <row r="203" spans="1:26" x14ac:dyDescent="0.45">
      <c r="A203" t="s">
        <v>268</v>
      </c>
      <c r="B203" t="s">
        <v>26</v>
      </c>
      <c r="C203" t="s">
        <v>43</v>
      </c>
      <c r="D203" t="s">
        <v>44</v>
      </c>
      <c r="E203">
        <v>2030</v>
      </c>
      <c r="F203">
        <v>2060</v>
      </c>
      <c r="G203">
        <v>3000</v>
      </c>
      <c r="H203">
        <v>2</v>
      </c>
      <c r="I203">
        <v>0.2</v>
      </c>
      <c r="J203">
        <v>9.75</v>
      </c>
      <c r="K203">
        <v>0.1</v>
      </c>
      <c r="L203">
        <v>0.1</v>
      </c>
      <c r="N203">
        <v>0.2</v>
      </c>
      <c r="Q203">
        <v>0</v>
      </c>
      <c r="R203">
        <v>1.2450805009999999</v>
      </c>
      <c r="T203">
        <v>3000</v>
      </c>
      <c r="U203">
        <v>0</v>
      </c>
      <c r="X203">
        <v>0.05</v>
      </c>
      <c r="Y203">
        <v>0</v>
      </c>
      <c r="Z203">
        <v>0</v>
      </c>
    </row>
    <row r="204" spans="1:26" x14ac:dyDescent="0.45">
      <c r="A204" t="s">
        <v>269</v>
      </c>
      <c r="B204" t="s">
        <v>58</v>
      </c>
      <c r="C204" t="s">
        <v>71</v>
      </c>
      <c r="D204" t="s">
        <v>38</v>
      </c>
      <c r="E204">
        <v>2024</v>
      </c>
      <c r="F204">
        <v>2060</v>
      </c>
      <c r="G204">
        <v>21</v>
      </c>
      <c r="H204">
        <v>1</v>
      </c>
      <c r="K204">
        <v>0.24</v>
      </c>
      <c r="L204">
        <v>0.24</v>
      </c>
      <c r="N204">
        <v>0.13</v>
      </c>
      <c r="Q204">
        <v>0</v>
      </c>
    </row>
    <row r="205" spans="1:26" x14ac:dyDescent="0.45">
      <c r="A205" t="s">
        <v>270</v>
      </c>
      <c r="B205" t="s">
        <v>58</v>
      </c>
      <c r="C205" t="s">
        <v>43</v>
      </c>
      <c r="D205" t="s">
        <v>44</v>
      </c>
      <c r="E205">
        <v>2018</v>
      </c>
      <c r="F205">
        <v>2044</v>
      </c>
      <c r="G205">
        <v>248</v>
      </c>
      <c r="H205">
        <v>1</v>
      </c>
      <c r="I205">
        <v>0.2</v>
      </c>
      <c r="J205">
        <v>9.75</v>
      </c>
      <c r="K205">
        <v>0.1</v>
      </c>
      <c r="L205">
        <v>0.1</v>
      </c>
      <c r="N205">
        <v>0.2</v>
      </c>
      <c r="Q205">
        <v>0</v>
      </c>
      <c r="X205">
        <v>0.05</v>
      </c>
    </row>
    <row r="206" spans="1:26" x14ac:dyDescent="0.45">
      <c r="A206" t="s">
        <v>271</v>
      </c>
      <c r="B206" t="s">
        <v>26</v>
      </c>
      <c r="C206" t="s">
        <v>158</v>
      </c>
      <c r="D206" t="s">
        <v>159</v>
      </c>
      <c r="E206">
        <v>2035</v>
      </c>
      <c r="F206">
        <v>2095</v>
      </c>
      <c r="G206">
        <v>5200</v>
      </c>
      <c r="H206">
        <v>3</v>
      </c>
      <c r="J206">
        <v>9.2886065999999996</v>
      </c>
      <c r="K206">
        <v>0.1</v>
      </c>
      <c r="L206">
        <v>0.1</v>
      </c>
      <c r="M206">
        <v>0</v>
      </c>
      <c r="N206">
        <v>0</v>
      </c>
      <c r="Q206">
        <v>0</v>
      </c>
      <c r="R206">
        <v>6.2959570659999997</v>
      </c>
      <c r="S206">
        <v>50</v>
      </c>
      <c r="T206">
        <v>1250</v>
      </c>
      <c r="U206">
        <v>0</v>
      </c>
      <c r="W206">
        <v>0</v>
      </c>
      <c r="X206">
        <v>0.6</v>
      </c>
      <c r="Y206">
        <v>0</v>
      </c>
      <c r="Z206">
        <v>0</v>
      </c>
    </row>
    <row r="207" spans="1:26" x14ac:dyDescent="0.45">
      <c r="A207" t="s">
        <v>272</v>
      </c>
      <c r="B207" t="s">
        <v>58</v>
      </c>
      <c r="C207" t="s">
        <v>53</v>
      </c>
      <c r="D207" t="s">
        <v>44</v>
      </c>
      <c r="E207">
        <v>2004</v>
      </c>
      <c r="F207">
        <v>2034</v>
      </c>
      <c r="G207">
        <v>189</v>
      </c>
      <c r="H207">
        <v>1</v>
      </c>
      <c r="J207">
        <v>10.23</v>
      </c>
      <c r="K207">
        <v>0.3</v>
      </c>
      <c r="L207">
        <v>0.3</v>
      </c>
      <c r="Q207">
        <v>0</v>
      </c>
    </row>
    <row r="208" spans="1:26" x14ac:dyDescent="0.45">
      <c r="A208" t="s">
        <v>273</v>
      </c>
      <c r="B208" t="s">
        <v>58</v>
      </c>
      <c r="C208" t="s">
        <v>53</v>
      </c>
      <c r="D208" t="s">
        <v>44</v>
      </c>
      <c r="E208">
        <v>2022</v>
      </c>
      <c r="F208">
        <v>2047</v>
      </c>
      <c r="G208">
        <v>185</v>
      </c>
      <c r="H208">
        <v>1</v>
      </c>
      <c r="J208">
        <v>10.23</v>
      </c>
      <c r="K208">
        <v>0.3</v>
      </c>
      <c r="L208">
        <v>0.3</v>
      </c>
      <c r="Q208">
        <v>0</v>
      </c>
    </row>
    <row r="209" spans="1:26" x14ac:dyDescent="0.45">
      <c r="A209" t="s">
        <v>274</v>
      </c>
      <c r="B209" t="s">
        <v>58</v>
      </c>
      <c r="C209" t="s">
        <v>53</v>
      </c>
      <c r="D209" t="s">
        <v>44</v>
      </c>
      <c r="E209">
        <v>2015</v>
      </c>
      <c r="F209">
        <v>2035</v>
      </c>
      <c r="G209">
        <v>150</v>
      </c>
      <c r="H209">
        <v>1</v>
      </c>
      <c r="J209">
        <v>10.23</v>
      </c>
      <c r="K209">
        <v>0.3</v>
      </c>
      <c r="L209">
        <v>0.3</v>
      </c>
      <c r="Q209">
        <v>0</v>
      </c>
    </row>
    <row r="210" spans="1:26" x14ac:dyDescent="0.45">
      <c r="A210" t="s">
        <v>275</v>
      </c>
      <c r="B210" t="s">
        <v>58</v>
      </c>
      <c r="C210" t="s">
        <v>53</v>
      </c>
      <c r="D210" t="s">
        <v>44</v>
      </c>
      <c r="E210">
        <v>2012</v>
      </c>
      <c r="F210">
        <v>2031</v>
      </c>
      <c r="G210">
        <v>129</v>
      </c>
      <c r="H210">
        <v>1</v>
      </c>
      <c r="J210">
        <v>10.23</v>
      </c>
      <c r="K210">
        <v>0.3</v>
      </c>
      <c r="L210">
        <v>0.3</v>
      </c>
      <c r="Q210">
        <v>0</v>
      </c>
    </row>
    <row r="211" spans="1:26" x14ac:dyDescent="0.45">
      <c r="A211" t="s">
        <v>276</v>
      </c>
      <c r="B211" t="s">
        <v>58</v>
      </c>
      <c r="C211" t="s">
        <v>53</v>
      </c>
      <c r="D211" t="s">
        <v>44</v>
      </c>
      <c r="E211">
        <v>2022</v>
      </c>
      <c r="F211">
        <v>2042</v>
      </c>
      <c r="G211">
        <v>113</v>
      </c>
      <c r="H211">
        <v>1</v>
      </c>
      <c r="J211">
        <v>10.23</v>
      </c>
      <c r="K211">
        <v>0.3</v>
      </c>
      <c r="L211">
        <v>0.3</v>
      </c>
      <c r="Q211">
        <v>0</v>
      </c>
    </row>
    <row r="212" spans="1:26" x14ac:dyDescent="0.45">
      <c r="A212" t="s">
        <v>277</v>
      </c>
      <c r="B212" t="s">
        <v>58</v>
      </c>
      <c r="C212" t="s">
        <v>27</v>
      </c>
      <c r="D212" t="s">
        <v>44</v>
      </c>
      <c r="E212">
        <v>2007</v>
      </c>
      <c r="F212">
        <v>2027</v>
      </c>
      <c r="G212">
        <v>102</v>
      </c>
      <c r="H212">
        <v>1</v>
      </c>
      <c r="J212">
        <v>9.6999999999999993</v>
      </c>
      <c r="K212">
        <v>0.3</v>
      </c>
      <c r="L212">
        <v>0.3</v>
      </c>
      <c r="N212">
        <v>0.2</v>
      </c>
      <c r="Q212">
        <v>0</v>
      </c>
      <c r="R212">
        <v>0</v>
      </c>
      <c r="S212">
        <v>30</v>
      </c>
    </row>
    <row r="213" spans="1:26" x14ac:dyDescent="0.45">
      <c r="A213" t="s">
        <v>278</v>
      </c>
      <c r="B213" t="s">
        <v>95</v>
      </c>
      <c r="C213" t="s">
        <v>53</v>
      </c>
      <c r="D213" t="s">
        <v>44</v>
      </c>
      <c r="E213">
        <v>2028</v>
      </c>
      <c r="F213">
        <v>2058</v>
      </c>
      <c r="G213">
        <v>500</v>
      </c>
      <c r="H213">
        <v>3</v>
      </c>
      <c r="J213">
        <v>10.23</v>
      </c>
      <c r="T213">
        <v>150</v>
      </c>
    </row>
    <row r="214" spans="1:26" x14ac:dyDescent="0.45">
      <c r="A214" t="s">
        <v>279</v>
      </c>
      <c r="B214" t="s">
        <v>58</v>
      </c>
      <c r="C214" t="s">
        <v>27</v>
      </c>
      <c r="D214" t="s">
        <v>28</v>
      </c>
      <c r="E214">
        <v>2013</v>
      </c>
      <c r="F214">
        <v>2032</v>
      </c>
      <c r="G214">
        <v>70</v>
      </c>
      <c r="H214">
        <v>1</v>
      </c>
      <c r="J214">
        <v>10.8</v>
      </c>
      <c r="Q214">
        <v>0</v>
      </c>
      <c r="R214">
        <v>0</v>
      </c>
    </row>
    <row r="215" spans="1:26" x14ac:dyDescent="0.45">
      <c r="A215" t="s">
        <v>280</v>
      </c>
      <c r="B215" t="s">
        <v>58</v>
      </c>
      <c r="C215" t="s">
        <v>37</v>
      </c>
      <c r="D215" t="s">
        <v>38</v>
      </c>
      <c r="E215">
        <v>2024</v>
      </c>
      <c r="F215">
        <v>2060</v>
      </c>
      <c r="G215">
        <v>2115</v>
      </c>
      <c r="H215">
        <v>1</v>
      </c>
      <c r="K215">
        <v>0.13</v>
      </c>
      <c r="L215">
        <v>0.13</v>
      </c>
      <c r="N215">
        <v>0.34</v>
      </c>
      <c r="Q215">
        <v>0</v>
      </c>
      <c r="S215">
        <v>50</v>
      </c>
    </row>
    <row r="216" spans="1:26" x14ac:dyDescent="0.45">
      <c r="A216" t="s">
        <v>281</v>
      </c>
      <c r="B216" t="s">
        <v>58</v>
      </c>
      <c r="C216" t="s">
        <v>27</v>
      </c>
      <c r="D216" t="s">
        <v>34</v>
      </c>
      <c r="E216">
        <v>2013</v>
      </c>
      <c r="F216">
        <v>2032</v>
      </c>
      <c r="G216">
        <v>60</v>
      </c>
      <c r="H216">
        <v>1</v>
      </c>
      <c r="J216">
        <v>10.8</v>
      </c>
      <c r="K216">
        <v>1</v>
      </c>
      <c r="L216">
        <v>1</v>
      </c>
      <c r="N216">
        <v>0.2</v>
      </c>
      <c r="Q216">
        <v>0</v>
      </c>
      <c r="R216">
        <v>0</v>
      </c>
      <c r="S216">
        <v>30</v>
      </c>
    </row>
    <row r="217" spans="1:26" x14ac:dyDescent="0.45">
      <c r="A217" t="s">
        <v>282</v>
      </c>
      <c r="B217" t="s">
        <v>58</v>
      </c>
      <c r="C217" t="s">
        <v>27</v>
      </c>
      <c r="D217" t="s">
        <v>44</v>
      </c>
      <c r="E217">
        <v>2009</v>
      </c>
      <c r="F217">
        <v>2029</v>
      </c>
      <c r="G217">
        <v>45</v>
      </c>
      <c r="H217">
        <v>1</v>
      </c>
      <c r="J217">
        <v>9.6999999999999993</v>
      </c>
      <c r="K217">
        <v>0.3</v>
      </c>
      <c r="L217">
        <v>0.3</v>
      </c>
      <c r="N217">
        <v>0.2</v>
      </c>
      <c r="Q217">
        <v>0</v>
      </c>
      <c r="R217">
        <v>0</v>
      </c>
      <c r="S217">
        <v>30</v>
      </c>
    </row>
    <row r="218" spans="1:26" x14ac:dyDescent="0.45">
      <c r="A218" t="s">
        <v>283</v>
      </c>
      <c r="B218" t="s">
        <v>58</v>
      </c>
      <c r="C218" t="s">
        <v>53</v>
      </c>
      <c r="D218" t="s">
        <v>44</v>
      </c>
      <c r="E218">
        <v>2018</v>
      </c>
      <c r="F218">
        <v>2035</v>
      </c>
      <c r="G218">
        <v>31</v>
      </c>
      <c r="H218">
        <v>1</v>
      </c>
      <c r="J218">
        <v>10.23</v>
      </c>
      <c r="K218">
        <v>0.3</v>
      </c>
      <c r="L218">
        <v>0.3</v>
      </c>
      <c r="Q218">
        <v>0</v>
      </c>
    </row>
    <row r="219" spans="1:26" x14ac:dyDescent="0.45">
      <c r="A219" t="s">
        <v>284</v>
      </c>
      <c r="B219" t="s">
        <v>82</v>
      </c>
      <c r="C219" t="s">
        <v>285</v>
      </c>
      <c r="D219" t="s">
        <v>97</v>
      </c>
      <c r="E219">
        <v>2030</v>
      </c>
      <c r="F219">
        <v>2060</v>
      </c>
      <c r="G219">
        <v>8000</v>
      </c>
      <c r="H219">
        <v>3</v>
      </c>
      <c r="K219">
        <v>1</v>
      </c>
      <c r="L219">
        <v>1</v>
      </c>
      <c r="M219">
        <v>0</v>
      </c>
      <c r="N219">
        <v>0</v>
      </c>
      <c r="Q219">
        <v>0</v>
      </c>
      <c r="R219">
        <v>3.3</v>
      </c>
      <c r="T219">
        <v>50</v>
      </c>
      <c r="U219">
        <v>0</v>
      </c>
      <c r="W219">
        <v>0</v>
      </c>
      <c r="X219">
        <v>0</v>
      </c>
      <c r="Y219">
        <v>1</v>
      </c>
      <c r="Z219">
        <v>0</v>
      </c>
    </row>
    <row r="220" spans="1:26" x14ac:dyDescent="0.45">
      <c r="A220" t="s">
        <v>286</v>
      </c>
      <c r="B220" t="s">
        <v>58</v>
      </c>
      <c r="C220" t="s">
        <v>31</v>
      </c>
      <c r="D220" t="s">
        <v>40</v>
      </c>
      <c r="E220">
        <v>2010</v>
      </c>
      <c r="F220">
        <v>2030</v>
      </c>
      <c r="G220">
        <v>9</v>
      </c>
      <c r="H220">
        <v>1</v>
      </c>
      <c r="J220">
        <v>11.5</v>
      </c>
      <c r="K220">
        <v>0.9</v>
      </c>
      <c r="L220">
        <v>0.9</v>
      </c>
      <c r="Q220">
        <v>0</v>
      </c>
    </row>
    <row r="221" spans="1:26" x14ac:dyDescent="0.45">
      <c r="A221" t="s">
        <v>287</v>
      </c>
      <c r="B221" t="s">
        <v>58</v>
      </c>
      <c r="C221" t="s">
        <v>71</v>
      </c>
      <c r="D221" t="s">
        <v>38</v>
      </c>
      <c r="E221">
        <v>1975</v>
      </c>
      <c r="F221">
        <v>2060</v>
      </c>
      <c r="G221">
        <v>204</v>
      </c>
      <c r="H221">
        <v>1</v>
      </c>
      <c r="K221">
        <v>0.13</v>
      </c>
      <c r="L221">
        <v>0.13</v>
      </c>
      <c r="N221">
        <v>0.34</v>
      </c>
      <c r="Q221">
        <v>0</v>
      </c>
      <c r="S221">
        <v>50</v>
      </c>
    </row>
    <row r="222" spans="1:26" x14ac:dyDescent="0.45">
      <c r="A222" t="s">
        <v>288</v>
      </c>
      <c r="B222" t="s">
        <v>58</v>
      </c>
      <c r="C222" t="s">
        <v>53</v>
      </c>
      <c r="D222" t="s">
        <v>44</v>
      </c>
      <c r="E222">
        <v>2010</v>
      </c>
      <c r="F222">
        <v>2030</v>
      </c>
      <c r="G222">
        <v>8</v>
      </c>
      <c r="H222">
        <v>1</v>
      </c>
      <c r="J222">
        <v>10.23</v>
      </c>
      <c r="K222">
        <v>0.3</v>
      </c>
      <c r="L222">
        <v>0.3</v>
      </c>
      <c r="Q222">
        <v>0</v>
      </c>
    </row>
    <row r="223" spans="1:26" x14ac:dyDescent="0.45">
      <c r="A223" t="s">
        <v>289</v>
      </c>
      <c r="B223" t="s">
        <v>58</v>
      </c>
      <c r="C223" t="s">
        <v>66</v>
      </c>
      <c r="D223" t="s">
        <v>67</v>
      </c>
      <c r="E223">
        <v>2024</v>
      </c>
      <c r="F223">
        <v>2060</v>
      </c>
      <c r="G223">
        <v>7</v>
      </c>
      <c r="H223">
        <v>1</v>
      </c>
      <c r="Q223">
        <v>0</v>
      </c>
    </row>
    <row r="224" spans="1:26" x14ac:dyDescent="0.45">
      <c r="A224" t="s">
        <v>290</v>
      </c>
      <c r="B224" t="s">
        <v>58</v>
      </c>
      <c r="C224" t="s">
        <v>96</v>
      </c>
      <c r="D224" t="s">
        <v>97</v>
      </c>
      <c r="E224">
        <v>2024</v>
      </c>
      <c r="F224">
        <v>2060</v>
      </c>
      <c r="G224">
        <v>2</v>
      </c>
      <c r="H224">
        <v>1</v>
      </c>
      <c r="Q224">
        <v>0</v>
      </c>
    </row>
    <row r="225" spans="1:26" x14ac:dyDescent="0.45">
      <c r="A225" t="s">
        <v>291</v>
      </c>
      <c r="B225" t="s">
        <v>58</v>
      </c>
      <c r="C225" t="s">
        <v>31</v>
      </c>
      <c r="D225" t="s">
        <v>40</v>
      </c>
      <c r="E225">
        <v>2010</v>
      </c>
      <c r="F225">
        <v>2029</v>
      </c>
      <c r="G225">
        <v>2</v>
      </c>
      <c r="H225">
        <v>1</v>
      </c>
      <c r="J225">
        <v>11.5</v>
      </c>
      <c r="K225">
        <v>0.9</v>
      </c>
      <c r="L225">
        <v>0.9</v>
      </c>
      <c r="Q225">
        <v>0</v>
      </c>
    </row>
    <row r="226" spans="1:26" x14ac:dyDescent="0.45">
      <c r="A226" t="s">
        <v>292</v>
      </c>
      <c r="B226" t="s">
        <v>57</v>
      </c>
      <c r="C226" t="s">
        <v>37</v>
      </c>
      <c r="D226" t="s">
        <v>38</v>
      </c>
      <c r="E226">
        <v>2033</v>
      </c>
      <c r="F226">
        <v>2112</v>
      </c>
      <c r="G226">
        <v>1500</v>
      </c>
      <c r="H226">
        <v>2</v>
      </c>
      <c r="N226">
        <v>0.40644013800000001</v>
      </c>
      <c r="Q226">
        <v>0</v>
      </c>
      <c r="R226">
        <v>4.4365503879999997</v>
      </c>
      <c r="S226">
        <v>50</v>
      </c>
      <c r="T226">
        <v>1500</v>
      </c>
      <c r="U226">
        <v>0</v>
      </c>
      <c r="W226">
        <v>0</v>
      </c>
      <c r="X226">
        <v>0</v>
      </c>
      <c r="Y226">
        <v>0</v>
      </c>
      <c r="Z226">
        <v>0</v>
      </c>
    </row>
    <row r="227" spans="1:26" x14ac:dyDescent="0.45">
      <c r="A227" t="s">
        <v>293</v>
      </c>
      <c r="B227" t="s">
        <v>48</v>
      </c>
      <c r="C227" t="s">
        <v>285</v>
      </c>
      <c r="D227" t="s">
        <v>97</v>
      </c>
      <c r="E227">
        <v>2035</v>
      </c>
      <c r="F227">
        <v>2065</v>
      </c>
      <c r="G227">
        <v>500</v>
      </c>
      <c r="H227">
        <v>3</v>
      </c>
      <c r="K227">
        <v>1</v>
      </c>
      <c r="L227">
        <v>1</v>
      </c>
      <c r="M227">
        <v>0</v>
      </c>
      <c r="N227">
        <v>0</v>
      </c>
      <c r="Q227">
        <v>0</v>
      </c>
      <c r="R227">
        <v>3.3</v>
      </c>
      <c r="T227">
        <v>25</v>
      </c>
      <c r="U227">
        <v>0</v>
      </c>
      <c r="W227">
        <v>0</v>
      </c>
      <c r="X227">
        <v>0</v>
      </c>
      <c r="Y227">
        <v>1</v>
      </c>
      <c r="Z227">
        <v>0</v>
      </c>
    </row>
    <row r="228" spans="1:26" x14ac:dyDescent="0.45">
      <c r="A228" t="s">
        <v>294</v>
      </c>
      <c r="B228" t="s">
        <v>82</v>
      </c>
      <c r="C228" t="s">
        <v>96</v>
      </c>
      <c r="D228" t="s">
        <v>97</v>
      </c>
      <c r="E228">
        <v>2028</v>
      </c>
      <c r="F228">
        <v>2060</v>
      </c>
      <c r="G228">
        <v>8000</v>
      </c>
      <c r="H228">
        <v>3</v>
      </c>
      <c r="K228">
        <v>1</v>
      </c>
      <c r="L228">
        <v>1</v>
      </c>
      <c r="R228">
        <v>1.3</v>
      </c>
      <c r="T228">
        <v>50</v>
      </c>
      <c r="Y228">
        <v>1</v>
      </c>
    </row>
    <row r="229" spans="1:26" x14ac:dyDescent="0.45">
      <c r="A229" t="s">
        <v>295</v>
      </c>
      <c r="B229" t="s">
        <v>58</v>
      </c>
      <c r="C229" t="s">
        <v>71</v>
      </c>
      <c r="D229" t="s">
        <v>38</v>
      </c>
      <c r="E229">
        <v>2000</v>
      </c>
      <c r="F229">
        <v>2060</v>
      </c>
      <c r="G229">
        <v>180</v>
      </c>
      <c r="H229">
        <v>1</v>
      </c>
      <c r="K229">
        <v>0.17</v>
      </c>
      <c r="L229">
        <v>0.17</v>
      </c>
      <c r="N229">
        <v>0.31</v>
      </c>
      <c r="Q229">
        <v>0</v>
      </c>
    </row>
    <row r="230" spans="1:26" x14ac:dyDescent="0.45">
      <c r="A230" t="s">
        <v>296</v>
      </c>
      <c r="B230" t="s">
        <v>84</v>
      </c>
      <c r="C230" t="s">
        <v>96</v>
      </c>
      <c r="D230" t="s">
        <v>97</v>
      </c>
      <c r="E230">
        <v>2032</v>
      </c>
      <c r="F230">
        <v>2062</v>
      </c>
      <c r="G230">
        <v>8000</v>
      </c>
      <c r="H230">
        <v>3</v>
      </c>
      <c r="K230">
        <v>1</v>
      </c>
      <c r="L230">
        <v>1</v>
      </c>
      <c r="R230">
        <v>1.3</v>
      </c>
      <c r="T230">
        <v>25</v>
      </c>
      <c r="Y230">
        <v>1</v>
      </c>
    </row>
    <row r="231" spans="1:26" x14ac:dyDescent="0.45">
      <c r="A231" t="s">
        <v>297</v>
      </c>
      <c r="B231" t="s">
        <v>58</v>
      </c>
      <c r="C231" t="s">
        <v>71</v>
      </c>
      <c r="D231" t="s">
        <v>38</v>
      </c>
      <c r="E231">
        <v>2028</v>
      </c>
      <c r="F231">
        <v>2108</v>
      </c>
      <c r="G231">
        <v>50</v>
      </c>
      <c r="H231">
        <v>2</v>
      </c>
      <c r="N231">
        <v>0.22</v>
      </c>
      <c r="Q231">
        <v>0</v>
      </c>
      <c r="R231">
        <v>2.8</v>
      </c>
      <c r="T231">
        <v>50</v>
      </c>
    </row>
    <row r="232" spans="1:26" x14ac:dyDescent="0.45">
      <c r="A232" t="s">
        <v>298</v>
      </c>
      <c r="B232" t="s">
        <v>95</v>
      </c>
      <c r="C232" t="s">
        <v>96</v>
      </c>
      <c r="D232" t="s">
        <v>97</v>
      </c>
      <c r="E232">
        <v>2027</v>
      </c>
      <c r="F232">
        <v>2056</v>
      </c>
      <c r="G232">
        <v>8000</v>
      </c>
      <c r="H232">
        <v>3</v>
      </c>
      <c r="T232">
        <v>70</v>
      </c>
      <c r="Y232">
        <v>1</v>
      </c>
    </row>
    <row r="233" spans="1:26" x14ac:dyDescent="0.45">
      <c r="A233" t="s">
        <v>299</v>
      </c>
      <c r="B233" t="s">
        <v>63</v>
      </c>
      <c r="C233" t="s">
        <v>66</v>
      </c>
      <c r="D233" t="s">
        <v>67</v>
      </c>
      <c r="E233">
        <v>2035</v>
      </c>
      <c r="F233">
        <v>2060</v>
      </c>
      <c r="G233">
        <v>4000</v>
      </c>
      <c r="H233">
        <v>3</v>
      </c>
      <c r="R233">
        <v>0.8</v>
      </c>
      <c r="T233">
        <v>60</v>
      </c>
      <c r="Y233">
        <v>1</v>
      </c>
    </row>
    <row r="234" spans="1:26" x14ac:dyDescent="0.45">
      <c r="A234" t="s">
        <v>300</v>
      </c>
      <c r="B234" t="s">
        <v>63</v>
      </c>
      <c r="C234" t="s">
        <v>96</v>
      </c>
      <c r="D234" t="s">
        <v>97</v>
      </c>
      <c r="E234">
        <v>2027</v>
      </c>
      <c r="F234">
        <v>2056</v>
      </c>
      <c r="G234">
        <v>8000</v>
      </c>
      <c r="H234">
        <v>3</v>
      </c>
      <c r="K234">
        <v>1</v>
      </c>
      <c r="L234">
        <v>1</v>
      </c>
      <c r="R234">
        <v>1.3</v>
      </c>
      <c r="T234">
        <v>45</v>
      </c>
      <c r="Y234">
        <v>1</v>
      </c>
    </row>
    <row r="235" spans="1:26" x14ac:dyDescent="0.45">
      <c r="A235" t="s">
        <v>301</v>
      </c>
      <c r="B235" t="s">
        <v>133</v>
      </c>
      <c r="C235" t="s">
        <v>96</v>
      </c>
      <c r="D235" t="s">
        <v>97</v>
      </c>
      <c r="E235">
        <v>2029</v>
      </c>
      <c r="F235">
        <v>2056</v>
      </c>
      <c r="G235">
        <v>500</v>
      </c>
      <c r="H235">
        <v>3</v>
      </c>
      <c r="K235">
        <v>1</v>
      </c>
      <c r="L235">
        <v>1</v>
      </c>
      <c r="R235">
        <v>1.3</v>
      </c>
      <c r="T235">
        <v>20</v>
      </c>
      <c r="Y235">
        <v>1</v>
      </c>
    </row>
    <row r="236" spans="1:26" x14ac:dyDescent="0.45">
      <c r="A236" t="s">
        <v>302</v>
      </c>
      <c r="B236" t="s">
        <v>102</v>
      </c>
      <c r="C236" t="s">
        <v>96</v>
      </c>
      <c r="D236" t="s">
        <v>97</v>
      </c>
      <c r="E236">
        <v>2031</v>
      </c>
      <c r="F236">
        <v>2061</v>
      </c>
      <c r="G236">
        <v>1000</v>
      </c>
      <c r="H236">
        <v>3</v>
      </c>
      <c r="K236">
        <v>1</v>
      </c>
      <c r="L236">
        <v>1</v>
      </c>
      <c r="R236">
        <v>1.3</v>
      </c>
      <c r="T236">
        <v>20</v>
      </c>
      <c r="Y236">
        <v>1</v>
      </c>
    </row>
    <row r="237" spans="1:26" x14ac:dyDescent="0.45">
      <c r="A237" t="s">
        <v>303</v>
      </c>
      <c r="B237" t="s">
        <v>58</v>
      </c>
      <c r="C237" t="s">
        <v>96</v>
      </c>
      <c r="D237" t="s">
        <v>97</v>
      </c>
      <c r="E237">
        <v>2025</v>
      </c>
      <c r="F237">
        <v>2060</v>
      </c>
      <c r="G237">
        <v>400</v>
      </c>
      <c r="H237">
        <v>3</v>
      </c>
      <c r="K237">
        <v>1</v>
      </c>
      <c r="L237">
        <v>1</v>
      </c>
      <c r="R237">
        <v>1.3</v>
      </c>
      <c r="T237">
        <v>60</v>
      </c>
      <c r="Y237">
        <v>1</v>
      </c>
    </row>
    <row r="238" spans="1:26" x14ac:dyDescent="0.45">
      <c r="A238" t="s">
        <v>304</v>
      </c>
      <c r="B238" t="s">
        <v>30</v>
      </c>
      <c r="C238" t="s">
        <v>66</v>
      </c>
      <c r="D238" t="s">
        <v>67</v>
      </c>
      <c r="E238">
        <v>2028</v>
      </c>
      <c r="F238">
        <v>2058</v>
      </c>
      <c r="G238">
        <v>6000</v>
      </c>
      <c r="H238">
        <v>3</v>
      </c>
      <c r="R238">
        <v>0.8</v>
      </c>
      <c r="T238">
        <v>100</v>
      </c>
      <c r="Y238">
        <v>1</v>
      </c>
    </row>
    <row r="239" spans="1:26" x14ac:dyDescent="0.45">
      <c r="A239" t="s">
        <v>305</v>
      </c>
      <c r="B239" t="s">
        <v>30</v>
      </c>
      <c r="C239" t="s">
        <v>96</v>
      </c>
      <c r="D239" t="s">
        <v>97</v>
      </c>
      <c r="E239">
        <v>2028</v>
      </c>
      <c r="F239">
        <v>2058</v>
      </c>
      <c r="G239">
        <v>2000</v>
      </c>
      <c r="H239">
        <v>3</v>
      </c>
      <c r="K239">
        <v>1</v>
      </c>
      <c r="L239">
        <v>1</v>
      </c>
      <c r="R239">
        <v>1.3</v>
      </c>
      <c r="T239">
        <v>20</v>
      </c>
      <c r="Y239">
        <v>1</v>
      </c>
    </row>
    <row r="240" spans="1:26" x14ac:dyDescent="0.45">
      <c r="A240" t="s">
        <v>306</v>
      </c>
      <c r="B240" t="s">
        <v>106</v>
      </c>
      <c r="C240" t="s">
        <v>37</v>
      </c>
      <c r="D240" t="s">
        <v>38</v>
      </c>
      <c r="E240">
        <v>2035</v>
      </c>
      <c r="F240">
        <v>2110</v>
      </c>
      <c r="G240">
        <v>60</v>
      </c>
      <c r="H240">
        <v>3</v>
      </c>
      <c r="N240">
        <v>0.27807048400000001</v>
      </c>
      <c r="T240">
        <v>60</v>
      </c>
    </row>
    <row r="241" spans="1:26" x14ac:dyDescent="0.45">
      <c r="A241" t="s">
        <v>307</v>
      </c>
      <c r="B241" t="s">
        <v>76</v>
      </c>
      <c r="C241" t="s">
        <v>43</v>
      </c>
      <c r="D241" t="s">
        <v>44</v>
      </c>
      <c r="E241">
        <v>2030</v>
      </c>
      <c r="F241">
        <v>2060</v>
      </c>
      <c r="G241">
        <v>2000</v>
      </c>
      <c r="H241">
        <v>3</v>
      </c>
      <c r="I241">
        <v>0.2</v>
      </c>
      <c r="J241">
        <v>9.75</v>
      </c>
      <c r="K241">
        <v>0.1</v>
      </c>
      <c r="L241">
        <v>0.1</v>
      </c>
      <c r="N241">
        <v>0.2</v>
      </c>
      <c r="Q241">
        <v>0</v>
      </c>
      <c r="R241">
        <v>1.2450805009999999</v>
      </c>
      <c r="T241">
        <v>100</v>
      </c>
      <c r="U241">
        <v>0</v>
      </c>
      <c r="X241">
        <v>0.05</v>
      </c>
      <c r="Y241">
        <v>0</v>
      </c>
      <c r="Z241">
        <v>0</v>
      </c>
    </row>
    <row r="242" spans="1:26" x14ac:dyDescent="0.45">
      <c r="A242" t="s">
        <v>308</v>
      </c>
      <c r="B242" t="s">
        <v>58</v>
      </c>
      <c r="C242" t="s">
        <v>66</v>
      </c>
      <c r="D242" t="s">
        <v>67</v>
      </c>
      <c r="E242">
        <v>2026</v>
      </c>
      <c r="F242">
        <v>2060</v>
      </c>
      <c r="G242">
        <v>50</v>
      </c>
      <c r="H242">
        <v>2</v>
      </c>
      <c r="R242">
        <v>0.8</v>
      </c>
      <c r="T242">
        <v>50</v>
      </c>
    </row>
    <row r="243" spans="1:26" x14ac:dyDescent="0.45">
      <c r="A243" t="s">
        <v>309</v>
      </c>
      <c r="B243" t="s">
        <v>58</v>
      </c>
      <c r="C243" t="s">
        <v>66</v>
      </c>
      <c r="D243" t="s">
        <v>67</v>
      </c>
      <c r="E243">
        <v>2026</v>
      </c>
      <c r="F243">
        <v>2060</v>
      </c>
      <c r="G243">
        <v>50</v>
      </c>
      <c r="H243">
        <v>2</v>
      </c>
      <c r="R243">
        <v>0.8</v>
      </c>
      <c r="T243">
        <v>50</v>
      </c>
    </row>
    <row r="244" spans="1:26" x14ac:dyDescent="0.45">
      <c r="A244" t="s">
        <v>310</v>
      </c>
      <c r="B244" t="s">
        <v>58</v>
      </c>
      <c r="C244" t="s">
        <v>66</v>
      </c>
      <c r="D244" t="s">
        <v>67</v>
      </c>
      <c r="E244">
        <v>2027</v>
      </c>
      <c r="F244">
        <v>2060</v>
      </c>
      <c r="G244">
        <v>50</v>
      </c>
      <c r="H244">
        <v>2</v>
      </c>
      <c r="R244">
        <v>0.8</v>
      </c>
      <c r="T244">
        <v>50</v>
      </c>
    </row>
    <row r="245" spans="1:26" x14ac:dyDescent="0.45">
      <c r="A245" t="s">
        <v>311</v>
      </c>
      <c r="B245" t="s">
        <v>57</v>
      </c>
      <c r="C245" t="s">
        <v>37</v>
      </c>
      <c r="D245" t="s">
        <v>38</v>
      </c>
      <c r="E245">
        <v>2037</v>
      </c>
      <c r="F245">
        <v>2110</v>
      </c>
      <c r="G245">
        <v>200</v>
      </c>
      <c r="H245">
        <v>3</v>
      </c>
      <c r="N245">
        <v>0.27807048400000001</v>
      </c>
      <c r="T245">
        <v>200</v>
      </c>
    </row>
    <row r="246" spans="1:26" x14ac:dyDescent="0.45">
      <c r="A246" t="s">
        <v>312</v>
      </c>
      <c r="B246" t="s">
        <v>93</v>
      </c>
      <c r="C246" t="s">
        <v>96</v>
      </c>
      <c r="D246" t="s">
        <v>97</v>
      </c>
      <c r="E246">
        <v>2028</v>
      </c>
      <c r="F246">
        <v>2060</v>
      </c>
      <c r="G246">
        <v>1000</v>
      </c>
      <c r="H246">
        <v>3</v>
      </c>
      <c r="K246">
        <v>1</v>
      </c>
      <c r="L246">
        <v>1</v>
      </c>
      <c r="R246">
        <v>1.3</v>
      </c>
      <c r="T246">
        <v>5</v>
      </c>
      <c r="Y246">
        <v>1</v>
      </c>
    </row>
    <row r="247" spans="1:26" x14ac:dyDescent="0.45">
      <c r="A247" t="s">
        <v>313</v>
      </c>
      <c r="B247" t="s">
        <v>46</v>
      </c>
      <c r="C247" t="s">
        <v>66</v>
      </c>
      <c r="D247" t="s">
        <v>67</v>
      </c>
      <c r="E247">
        <v>2029</v>
      </c>
      <c r="F247">
        <v>2059</v>
      </c>
      <c r="G247">
        <v>10000</v>
      </c>
      <c r="H247">
        <v>3</v>
      </c>
      <c r="R247">
        <v>0.8</v>
      </c>
      <c r="T247">
        <v>240</v>
      </c>
      <c r="Y247">
        <v>1</v>
      </c>
    </row>
    <row r="248" spans="1:26" x14ac:dyDescent="0.45">
      <c r="A248" t="s">
        <v>314</v>
      </c>
      <c r="B248" t="s">
        <v>76</v>
      </c>
      <c r="C248" t="s">
        <v>53</v>
      </c>
      <c r="D248" t="s">
        <v>44</v>
      </c>
      <c r="E248">
        <v>2028</v>
      </c>
      <c r="F248">
        <v>2048</v>
      </c>
      <c r="G248">
        <v>29</v>
      </c>
      <c r="H248">
        <v>3</v>
      </c>
      <c r="J248">
        <v>10.23</v>
      </c>
      <c r="K248">
        <v>0.3</v>
      </c>
      <c r="L248">
        <v>0.3</v>
      </c>
      <c r="R248">
        <v>1.0168157419999999</v>
      </c>
      <c r="T248">
        <v>29</v>
      </c>
      <c r="U248">
        <v>0</v>
      </c>
      <c r="X248">
        <v>0.05</v>
      </c>
      <c r="Y248">
        <v>0</v>
      </c>
      <c r="Z248">
        <v>0</v>
      </c>
    </row>
    <row r="249" spans="1:26" x14ac:dyDescent="0.45">
      <c r="A249" t="s">
        <v>315</v>
      </c>
      <c r="B249" t="s">
        <v>106</v>
      </c>
      <c r="C249" t="s">
        <v>66</v>
      </c>
      <c r="D249" t="s">
        <v>67</v>
      </c>
      <c r="E249">
        <v>2028</v>
      </c>
      <c r="F249">
        <v>2058</v>
      </c>
      <c r="G249">
        <v>30</v>
      </c>
      <c r="H249">
        <v>3</v>
      </c>
      <c r="J249">
        <v>0</v>
      </c>
      <c r="K249">
        <v>1</v>
      </c>
      <c r="L249">
        <v>1</v>
      </c>
      <c r="R249">
        <v>0.8</v>
      </c>
      <c r="T249">
        <v>30</v>
      </c>
    </row>
    <row r="250" spans="1:26" x14ac:dyDescent="0.45">
      <c r="A250" t="s">
        <v>316</v>
      </c>
      <c r="B250" t="s">
        <v>95</v>
      </c>
      <c r="C250" t="s">
        <v>66</v>
      </c>
      <c r="D250" t="s">
        <v>67</v>
      </c>
      <c r="E250">
        <v>2026</v>
      </c>
      <c r="F250">
        <v>2060</v>
      </c>
      <c r="G250">
        <v>20000</v>
      </c>
      <c r="H250">
        <v>3</v>
      </c>
      <c r="T250">
        <v>300</v>
      </c>
      <c r="Y250">
        <v>1</v>
      </c>
    </row>
    <row r="251" spans="1:26" x14ac:dyDescent="0.45">
      <c r="A251" t="s">
        <v>317</v>
      </c>
      <c r="B251" t="s">
        <v>63</v>
      </c>
      <c r="C251" t="s">
        <v>66</v>
      </c>
      <c r="D251" t="s">
        <v>67</v>
      </c>
      <c r="E251">
        <v>2026</v>
      </c>
      <c r="F251">
        <v>2060</v>
      </c>
      <c r="G251">
        <v>4000</v>
      </c>
      <c r="H251">
        <v>3</v>
      </c>
      <c r="R251">
        <v>0.8</v>
      </c>
      <c r="T251">
        <v>40</v>
      </c>
      <c r="Y251">
        <v>1</v>
      </c>
    </row>
    <row r="252" spans="1:26" x14ac:dyDescent="0.45">
      <c r="A252" t="s">
        <v>318</v>
      </c>
      <c r="B252" t="s">
        <v>133</v>
      </c>
      <c r="C252" t="s">
        <v>66</v>
      </c>
      <c r="D252" t="s">
        <v>67</v>
      </c>
      <c r="E252">
        <v>2029</v>
      </c>
      <c r="F252">
        <v>2060</v>
      </c>
      <c r="G252">
        <v>500</v>
      </c>
      <c r="H252">
        <v>3</v>
      </c>
      <c r="R252">
        <v>0.8</v>
      </c>
      <c r="T252">
        <v>12</v>
      </c>
      <c r="Y252">
        <v>1</v>
      </c>
    </row>
    <row r="253" spans="1:26" x14ac:dyDescent="0.45">
      <c r="A253" t="s">
        <v>319</v>
      </c>
      <c r="B253" t="s">
        <v>58</v>
      </c>
      <c r="C253" t="s">
        <v>66</v>
      </c>
      <c r="D253" t="s">
        <v>67</v>
      </c>
      <c r="E253">
        <v>2027</v>
      </c>
      <c r="F253">
        <v>2067</v>
      </c>
      <c r="G253">
        <v>8000</v>
      </c>
      <c r="H253">
        <v>3</v>
      </c>
      <c r="R253">
        <v>0.8</v>
      </c>
      <c r="T253">
        <v>350</v>
      </c>
    </row>
    <row r="254" spans="1:26" x14ac:dyDescent="0.45">
      <c r="A254" t="s">
        <v>320</v>
      </c>
      <c r="B254" t="s">
        <v>70</v>
      </c>
      <c r="C254" t="s">
        <v>66</v>
      </c>
      <c r="D254" t="s">
        <v>67</v>
      </c>
      <c r="E254">
        <v>2028</v>
      </c>
      <c r="F254">
        <v>2058</v>
      </c>
      <c r="G254">
        <v>250</v>
      </c>
      <c r="H254">
        <v>2</v>
      </c>
      <c r="R254">
        <v>0.8</v>
      </c>
      <c r="T254">
        <v>250</v>
      </c>
    </row>
    <row r="255" spans="1:26" x14ac:dyDescent="0.45">
      <c r="A255" t="s">
        <v>321</v>
      </c>
      <c r="B255" t="s">
        <v>70</v>
      </c>
      <c r="C255" t="s">
        <v>66</v>
      </c>
      <c r="D255" t="s">
        <v>67</v>
      </c>
      <c r="E255">
        <v>2027</v>
      </c>
      <c r="F255">
        <v>2057</v>
      </c>
      <c r="G255">
        <v>100</v>
      </c>
      <c r="H255">
        <v>3</v>
      </c>
      <c r="R255">
        <v>0.8</v>
      </c>
      <c r="T255">
        <v>50</v>
      </c>
      <c r="Y255">
        <v>1</v>
      </c>
    </row>
    <row r="256" spans="1:26" x14ac:dyDescent="0.45">
      <c r="A256" t="s">
        <v>322</v>
      </c>
      <c r="B256" t="s">
        <v>70</v>
      </c>
      <c r="C256" t="s">
        <v>37</v>
      </c>
      <c r="D256" t="s">
        <v>38</v>
      </c>
      <c r="E256">
        <v>2029</v>
      </c>
      <c r="F256">
        <v>2109</v>
      </c>
      <c r="G256">
        <v>163</v>
      </c>
      <c r="H256">
        <v>3</v>
      </c>
      <c r="N256">
        <v>0.27807048400000001</v>
      </c>
      <c r="R256">
        <v>3.12</v>
      </c>
      <c r="S256">
        <v>50</v>
      </c>
      <c r="T256">
        <v>163</v>
      </c>
      <c r="U256">
        <v>0</v>
      </c>
      <c r="W256">
        <v>0</v>
      </c>
      <c r="X256">
        <v>0</v>
      </c>
      <c r="Y256">
        <v>0</v>
      </c>
      <c r="Z256">
        <v>0</v>
      </c>
    </row>
    <row r="257" spans="1:26" x14ac:dyDescent="0.45">
      <c r="A257" t="s">
        <v>323</v>
      </c>
      <c r="B257" t="s">
        <v>70</v>
      </c>
      <c r="C257" t="s">
        <v>66</v>
      </c>
      <c r="D257" t="s">
        <v>67</v>
      </c>
      <c r="E257">
        <v>2028</v>
      </c>
      <c r="F257">
        <v>2060</v>
      </c>
      <c r="G257">
        <v>5000</v>
      </c>
      <c r="H257">
        <v>3</v>
      </c>
      <c r="R257">
        <v>0.8</v>
      </c>
      <c r="T257">
        <v>200</v>
      </c>
      <c r="Y257">
        <v>1</v>
      </c>
    </row>
    <row r="258" spans="1:26" x14ac:dyDescent="0.45">
      <c r="A258" t="s">
        <v>324</v>
      </c>
      <c r="B258" t="s">
        <v>30</v>
      </c>
      <c r="C258" t="s">
        <v>43</v>
      </c>
      <c r="D258" t="s">
        <v>44</v>
      </c>
      <c r="E258">
        <v>2027</v>
      </c>
      <c r="F258">
        <v>2052</v>
      </c>
      <c r="G258">
        <v>500</v>
      </c>
      <c r="H258">
        <v>3</v>
      </c>
      <c r="I258">
        <v>0.2</v>
      </c>
      <c r="J258">
        <v>9.75</v>
      </c>
      <c r="K258">
        <v>0.1</v>
      </c>
      <c r="L258">
        <v>0.1</v>
      </c>
      <c r="N258">
        <v>0.2</v>
      </c>
      <c r="T258">
        <v>200</v>
      </c>
      <c r="X258">
        <v>0.05</v>
      </c>
    </row>
    <row r="259" spans="1:26" x14ac:dyDescent="0.45">
      <c r="A259" t="s">
        <v>325</v>
      </c>
      <c r="B259" t="s">
        <v>133</v>
      </c>
      <c r="C259" t="s">
        <v>66</v>
      </c>
      <c r="D259" t="s">
        <v>67</v>
      </c>
      <c r="E259">
        <v>2040</v>
      </c>
      <c r="F259">
        <v>2070</v>
      </c>
      <c r="G259">
        <v>500</v>
      </c>
      <c r="H259">
        <v>3</v>
      </c>
      <c r="R259">
        <v>0.8</v>
      </c>
      <c r="T259">
        <v>12</v>
      </c>
      <c r="Y259">
        <v>1</v>
      </c>
    </row>
    <row r="260" spans="1:26" x14ac:dyDescent="0.45">
      <c r="A260" t="s">
        <v>326</v>
      </c>
      <c r="B260" t="s">
        <v>95</v>
      </c>
      <c r="C260" t="s">
        <v>37</v>
      </c>
      <c r="D260" t="s">
        <v>38</v>
      </c>
      <c r="E260">
        <v>2024</v>
      </c>
      <c r="F260">
        <v>2104</v>
      </c>
      <c r="G260">
        <v>378</v>
      </c>
      <c r="H260">
        <v>3</v>
      </c>
      <c r="T260">
        <v>109</v>
      </c>
      <c r="U260">
        <v>0</v>
      </c>
      <c r="W260">
        <v>0</v>
      </c>
      <c r="X260">
        <v>0</v>
      </c>
      <c r="Y260">
        <v>0</v>
      </c>
      <c r="Z260">
        <v>0</v>
      </c>
    </row>
    <row r="261" spans="1:26" x14ac:dyDescent="0.45">
      <c r="A261" t="s">
        <v>327</v>
      </c>
      <c r="B261" t="s">
        <v>33</v>
      </c>
      <c r="C261" t="s">
        <v>66</v>
      </c>
      <c r="D261" t="s">
        <v>67</v>
      </c>
      <c r="E261">
        <v>2027</v>
      </c>
      <c r="F261">
        <v>2057</v>
      </c>
      <c r="G261">
        <v>6000</v>
      </c>
      <c r="H261">
        <v>3</v>
      </c>
      <c r="R261">
        <v>0.8</v>
      </c>
      <c r="T261">
        <v>100</v>
      </c>
      <c r="Y261">
        <v>1</v>
      </c>
    </row>
    <row r="262" spans="1:26" x14ac:dyDescent="0.45">
      <c r="A262" t="s">
        <v>328</v>
      </c>
      <c r="B262" t="s">
        <v>58</v>
      </c>
      <c r="C262" t="s">
        <v>37</v>
      </c>
      <c r="D262" t="s">
        <v>38</v>
      </c>
      <c r="E262">
        <v>1988</v>
      </c>
      <c r="F262">
        <v>2060</v>
      </c>
      <c r="G262">
        <v>80</v>
      </c>
      <c r="H262">
        <v>1</v>
      </c>
      <c r="K262">
        <v>0.25</v>
      </c>
      <c r="L262">
        <v>0.25</v>
      </c>
      <c r="N262">
        <v>0.24</v>
      </c>
      <c r="Q262">
        <v>0</v>
      </c>
      <c r="S262">
        <v>50</v>
      </c>
    </row>
    <row r="263" spans="1:26" x14ac:dyDescent="0.45">
      <c r="A263" t="s">
        <v>329</v>
      </c>
      <c r="B263" t="s">
        <v>102</v>
      </c>
      <c r="C263" t="s">
        <v>66</v>
      </c>
      <c r="D263" t="s">
        <v>67</v>
      </c>
      <c r="E263">
        <v>2030</v>
      </c>
      <c r="F263">
        <v>2060</v>
      </c>
      <c r="G263">
        <v>5000</v>
      </c>
      <c r="H263">
        <v>3</v>
      </c>
      <c r="R263">
        <v>1.5</v>
      </c>
      <c r="S263">
        <v>25</v>
      </c>
      <c r="T263">
        <v>50</v>
      </c>
    </row>
    <row r="264" spans="1:26" x14ac:dyDescent="0.45">
      <c r="A264" t="s">
        <v>330</v>
      </c>
      <c r="B264" t="s">
        <v>58</v>
      </c>
      <c r="C264" t="s">
        <v>71</v>
      </c>
      <c r="D264" t="s">
        <v>38</v>
      </c>
      <c r="E264">
        <v>1995</v>
      </c>
      <c r="F264">
        <v>2060</v>
      </c>
      <c r="G264">
        <v>68</v>
      </c>
      <c r="H264">
        <v>1</v>
      </c>
      <c r="K264">
        <v>0.25</v>
      </c>
      <c r="L264">
        <v>0.25</v>
      </c>
      <c r="N264">
        <v>0.2</v>
      </c>
      <c r="Q264">
        <v>0</v>
      </c>
    </row>
    <row r="265" spans="1:26" x14ac:dyDescent="0.45">
      <c r="A265" t="s">
        <v>331</v>
      </c>
      <c r="B265" t="s">
        <v>58</v>
      </c>
      <c r="C265" t="s">
        <v>37</v>
      </c>
      <c r="D265" t="s">
        <v>38</v>
      </c>
      <c r="E265">
        <v>1968</v>
      </c>
      <c r="F265">
        <v>2060</v>
      </c>
      <c r="G265">
        <v>8</v>
      </c>
      <c r="H265">
        <v>1</v>
      </c>
      <c r="K265">
        <v>0.25</v>
      </c>
      <c r="L265">
        <v>0.25</v>
      </c>
      <c r="N265">
        <v>0.28999999999999998</v>
      </c>
      <c r="Q265">
        <v>0</v>
      </c>
      <c r="S265">
        <v>50</v>
      </c>
    </row>
    <row r="266" spans="1:26" x14ac:dyDescent="0.45">
      <c r="A266" t="s">
        <v>332</v>
      </c>
      <c r="B266" t="s">
        <v>46</v>
      </c>
      <c r="C266" t="s">
        <v>37</v>
      </c>
      <c r="D266" t="s">
        <v>38</v>
      </c>
      <c r="E266">
        <v>2045</v>
      </c>
      <c r="F266">
        <v>2060</v>
      </c>
      <c r="G266">
        <v>210</v>
      </c>
      <c r="H266">
        <v>3</v>
      </c>
      <c r="N266">
        <v>0.27807048400000001</v>
      </c>
      <c r="R266">
        <v>3.12</v>
      </c>
      <c r="S266">
        <v>50</v>
      </c>
      <c r="T266">
        <v>210</v>
      </c>
      <c r="U266">
        <v>0</v>
      </c>
      <c r="W266">
        <v>0</v>
      </c>
      <c r="X266">
        <v>0</v>
      </c>
      <c r="Y266">
        <v>0</v>
      </c>
      <c r="Z266">
        <v>0</v>
      </c>
    </row>
    <row r="267" spans="1:26" x14ac:dyDescent="0.45">
      <c r="A267" t="s">
        <v>333</v>
      </c>
      <c r="B267" t="s">
        <v>58</v>
      </c>
      <c r="C267" t="s">
        <v>96</v>
      </c>
      <c r="D267" t="s">
        <v>97</v>
      </c>
      <c r="E267">
        <v>2026</v>
      </c>
      <c r="F267">
        <v>2060</v>
      </c>
      <c r="G267">
        <v>75</v>
      </c>
      <c r="H267">
        <v>2</v>
      </c>
      <c r="K267">
        <v>1</v>
      </c>
      <c r="L267">
        <v>1</v>
      </c>
      <c r="R267">
        <v>1.3</v>
      </c>
      <c r="T267">
        <v>75</v>
      </c>
      <c r="Y267">
        <v>1</v>
      </c>
    </row>
    <row r="268" spans="1:26" x14ac:dyDescent="0.45">
      <c r="A268" t="s">
        <v>334</v>
      </c>
      <c r="B268" t="s">
        <v>58</v>
      </c>
      <c r="C268" t="s">
        <v>37</v>
      </c>
      <c r="D268" t="s">
        <v>38</v>
      </c>
      <c r="E268">
        <v>2035</v>
      </c>
      <c r="F268">
        <v>2110</v>
      </c>
      <c r="G268">
        <v>222</v>
      </c>
      <c r="H268">
        <v>2</v>
      </c>
      <c r="N268">
        <v>0.31</v>
      </c>
      <c r="R268">
        <v>3.12</v>
      </c>
      <c r="S268">
        <v>50</v>
      </c>
      <c r="T268">
        <v>222</v>
      </c>
    </row>
    <row r="269" spans="1:26" x14ac:dyDescent="0.45">
      <c r="A269" t="s">
        <v>335</v>
      </c>
      <c r="B269" t="s">
        <v>58</v>
      </c>
      <c r="C269" t="s">
        <v>66</v>
      </c>
      <c r="D269" t="s">
        <v>67</v>
      </c>
      <c r="E269">
        <v>2028</v>
      </c>
      <c r="F269">
        <v>2060</v>
      </c>
      <c r="G269">
        <v>70</v>
      </c>
      <c r="H269">
        <v>2</v>
      </c>
      <c r="R269">
        <v>0.8</v>
      </c>
      <c r="T269">
        <v>70</v>
      </c>
    </row>
    <row r="270" spans="1:26" x14ac:dyDescent="0.45">
      <c r="A270" t="s">
        <v>336</v>
      </c>
      <c r="B270" t="s">
        <v>58</v>
      </c>
      <c r="C270" t="s">
        <v>66</v>
      </c>
      <c r="D270" t="s">
        <v>67</v>
      </c>
      <c r="E270">
        <v>2026</v>
      </c>
      <c r="F270">
        <v>2060</v>
      </c>
      <c r="G270">
        <v>48</v>
      </c>
      <c r="H270">
        <v>2</v>
      </c>
      <c r="R270">
        <v>0.8</v>
      </c>
      <c r="T270">
        <v>48</v>
      </c>
    </row>
    <row r="271" spans="1:26" x14ac:dyDescent="0.45">
      <c r="A271" t="s">
        <v>337</v>
      </c>
      <c r="B271" t="s">
        <v>58</v>
      </c>
      <c r="C271" t="s">
        <v>71</v>
      </c>
      <c r="D271" t="s">
        <v>38</v>
      </c>
      <c r="E271">
        <v>2025</v>
      </c>
      <c r="F271">
        <v>2105</v>
      </c>
      <c r="G271">
        <v>27</v>
      </c>
      <c r="H271">
        <v>1</v>
      </c>
      <c r="N271">
        <v>0.18</v>
      </c>
      <c r="Q271">
        <v>0</v>
      </c>
      <c r="R271">
        <v>2.8</v>
      </c>
      <c r="T271">
        <v>27</v>
      </c>
    </row>
    <row r="272" spans="1:26" x14ac:dyDescent="0.45">
      <c r="A272" t="s">
        <v>338</v>
      </c>
      <c r="B272" t="s">
        <v>58</v>
      </c>
      <c r="C272" t="s">
        <v>37</v>
      </c>
      <c r="D272" t="s">
        <v>38</v>
      </c>
      <c r="E272">
        <v>2025</v>
      </c>
      <c r="F272">
        <v>2105</v>
      </c>
      <c r="G272">
        <v>14</v>
      </c>
      <c r="H272">
        <v>1</v>
      </c>
      <c r="K272">
        <v>0.25</v>
      </c>
      <c r="L272">
        <v>0.25</v>
      </c>
      <c r="N272">
        <v>0.28999999999999998</v>
      </c>
      <c r="R272">
        <v>3.12</v>
      </c>
      <c r="T272">
        <v>14</v>
      </c>
    </row>
    <row r="273" spans="1:26" x14ac:dyDescent="0.45">
      <c r="A273" t="s">
        <v>339</v>
      </c>
      <c r="B273" t="s">
        <v>58</v>
      </c>
      <c r="C273" t="s">
        <v>37</v>
      </c>
      <c r="D273" t="s">
        <v>38</v>
      </c>
      <c r="E273">
        <v>2026</v>
      </c>
      <c r="F273">
        <v>2106</v>
      </c>
      <c r="G273">
        <v>15</v>
      </c>
      <c r="H273">
        <v>2</v>
      </c>
      <c r="K273">
        <v>0.25</v>
      </c>
      <c r="L273">
        <v>0.25</v>
      </c>
      <c r="N273">
        <v>0.28999999999999998</v>
      </c>
      <c r="R273">
        <v>3.12</v>
      </c>
      <c r="T273">
        <v>15</v>
      </c>
    </row>
    <row r="274" spans="1:26" x14ac:dyDescent="0.45">
      <c r="A274" t="s">
        <v>340</v>
      </c>
      <c r="B274" t="s">
        <v>58</v>
      </c>
      <c r="C274" t="s">
        <v>37</v>
      </c>
      <c r="D274" t="s">
        <v>38</v>
      </c>
      <c r="E274">
        <v>2027</v>
      </c>
      <c r="F274">
        <v>2107</v>
      </c>
      <c r="G274">
        <v>27</v>
      </c>
      <c r="H274">
        <v>2</v>
      </c>
      <c r="K274">
        <v>0.25</v>
      </c>
      <c r="L274">
        <v>0.25</v>
      </c>
      <c r="N274">
        <v>0.28999999999999998</v>
      </c>
      <c r="R274">
        <v>3.12</v>
      </c>
      <c r="T274">
        <v>27</v>
      </c>
    </row>
    <row r="275" spans="1:26" x14ac:dyDescent="0.45">
      <c r="A275" t="s">
        <v>341</v>
      </c>
      <c r="B275" t="s">
        <v>58</v>
      </c>
      <c r="C275" t="s">
        <v>71</v>
      </c>
      <c r="D275" t="s">
        <v>38</v>
      </c>
      <c r="E275">
        <v>2016</v>
      </c>
      <c r="F275">
        <v>2060</v>
      </c>
      <c r="G275">
        <v>40</v>
      </c>
      <c r="H275">
        <v>1</v>
      </c>
      <c r="K275">
        <v>0.25</v>
      </c>
      <c r="L275">
        <v>0.25</v>
      </c>
      <c r="N275">
        <v>0.22</v>
      </c>
      <c r="Q275">
        <v>0</v>
      </c>
    </row>
    <row r="276" spans="1:26" x14ac:dyDescent="0.45">
      <c r="A276" t="s">
        <v>342</v>
      </c>
      <c r="B276" t="s">
        <v>57</v>
      </c>
      <c r="C276" t="s">
        <v>66</v>
      </c>
      <c r="D276" t="s">
        <v>67</v>
      </c>
      <c r="E276">
        <v>2027</v>
      </c>
      <c r="F276">
        <v>2057</v>
      </c>
      <c r="G276">
        <v>30</v>
      </c>
      <c r="H276">
        <v>3</v>
      </c>
      <c r="J276">
        <v>0</v>
      </c>
      <c r="K276">
        <v>1</v>
      </c>
      <c r="L276">
        <v>1</v>
      </c>
      <c r="R276">
        <v>0.8</v>
      </c>
      <c r="T276">
        <v>30</v>
      </c>
    </row>
    <row r="277" spans="1:26" x14ac:dyDescent="0.45">
      <c r="A277" t="s">
        <v>343</v>
      </c>
      <c r="B277" t="s">
        <v>26</v>
      </c>
      <c r="C277" t="s">
        <v>43</v>
      </c>
      <c r="D277" t="s">
        <v>44</v>
      </c>
      <c r="E277">
        <v>2029</v>
      </c>
      <c r="F277">
        <v>2078</v>
      </c>
      <c r="G277">
        <v>3000</v>
      </c>
      <c r="H277">
        <v>3</v>
      </c>
      <c r="I277">
        <v>0.2</v>
      </c>
      <c r="J277">
        <v>9.75</v>
      </c>
      <c r="K277">
        <v>0.1</v>
      </c>
      <c r="L277">
        <v>0.1</v>
      </c>
      <c r="N277">
        <v>0.2</v>
      </c>
      <c r="Q277">
        <v>0</v>
      </c>
      <c r="R277">
        <v>1.2450805009999999</v>
      </c>
      <c r="T277">
        <v>3000</v>
      </c>
      <c r="U277">
        <v>0</v>
      </c>
      <c r="X277">
        <v>0.05</v>
      </c>
      <c r="Y277">
        <v>0</v>
      </c>
      <c r="Z277">
        <v>3000</v>
      </c>
    </row>
    <row r="278" spans="1:26" x14ac:dyDescent="0.45">
      <c r="A278" t="s">
        <v>344</v>
      </c>
      <c r="B278" t="s">
        <v>76</v>
      </c>
      <c r="C278" t="s">
        <v>96</v>
      </c>
      <c r="D278" t="s">
        <v>97</v>
      </c>
      <c r="E278">
        <v>2028</v>
      </c>
      <c r="F278">
        <v>2058</v>
      </c>
      <c r="G278">
        <v>50</v>
      </c>
      <c r="H278">
        <v>3</v>
      </c>
      <c r="R278">
        <v>1.3</v>
      </c>
      <c r="T278">
        <v>50</v>
      </c>
    </row>
    <row r="279" spans="1:26" x14ac:dyDescent="0.45">
      <c r="A279" t="s">
        <v>345</v>
      </c>
      <c r="B279" t="s">
        <v>106</v>
      </c>
      <c r="C279" t="s">
        <v>66</v>
      </c>
      <c r="D279" t="s">
        <v>67</v>
      </c>
      <c r="E279">
        <v>2028</v>
      </c>
      <c r="F279">
        <v>2058</v>
      </c>
      <c r="G279">
        <v>30</v>
      </c>
      <c r="H279">
        <v>3</v>
      </c>
      <c r="J279">
        <v>0</v>
      </c>
      <c r="K279">
        <v>1</v>
      </c>
      <c r="L279">
        <v>1</v>
      </c>
      <c r="R279">
        <v>0.8</v>
      </c>
      <c r="T279">
        <v>30</v>
      </c>
    </row>
    <row r="280" spans="1:26" x14ac:dyDescent="0.45">
      <c r="A280" t="s">
        <v>346</v>
      </c>
      <c r="B280" t="s">
        <v>57</v>
      </c>
      <c r="C280" t="s">
        <v>37</v>
      </c>
      <c r="D280" t="s">
        <v>38</v>
      </c>
      <c r="E280">
        <v>2035</v>
      </c>
      <c r="F280">
        <v>2110</v>
      </c>
      <c r="G280">
        <v>650</v>
      </c>
      <c r="H280">
        <v>3</v>
      </c>
      <c r="N280">
        <v>0.40644013800000001</v>
      </c>
      <c r="Q280">
        <v>0</v>
      </c>
      <c r="R280">
        <v>4.2488372090000004</v>
      </c>
      <c r="T280">
        <v>650</v>
      </c>
      <c r="U280">
        <v>0</v>
      </c>
      <c r="W280">
        <v>0</v>
      </c>
      <c r="X280">
        <v>0</v>
      </c>
      <c r="Y280">
        <v>0</v>
      </c>
      <c r="Z280">
        <v>0</v>
      </c>
    </row>
    <row r="281" spans="1:26" x14ac:dyDescent="0.45">
      <c r="A281" t="s">
        <v>347</v>
      </c>
      <c r="B281" t="s">
        <v>57</v>
      </c>
      <c r="C281" t="s">
        <v>66</v>
      </c>
      <c r="D281" t="s">
        <v>67</v>
      </c>
      <c r="E281">
        <v>2028</v>
      </c>
      <c r="F281">
        <v>2058</v>
      </c>
      <c r="G281">
        <v>30</v>
      </c>
      <c r="H281">
        <v>3</v>
      </c>
      <c r="J281">
        <v>0</v>
      </c>
      <c r="K281">
        <v>1</v>
      </c>
      <c r="L281">
        <v>1</v>
      </c>
      <c r="R281">
        <v>0.8</v>
      </c>
      <c r="T281">
        <v>30</v>
      </c>
    </row>
    <row r="282" spans="1:26" x14ac:dyDescent="0.45">
      <c r="A282" t="s">
        <v>348</v>
      </c>
      <c r="B282" t="s">
        <v>76</v>
      </c>
      <c r="C282" t="s">
        <v>37</v>
      </c>
      <c r="D282" t="s">
        <v>38</v>
      </c>
      <c r="E282">
        <v>2040</v>
      </c>
      <c r="F282">
        <v>2110</v>
      </c>
      <c r="G282">
        <v>75</v>
      </c>
      <c r="H282">
        <v>3</v>
      </c>
      <c r="N282">
        <v>0.38</v>
      </c>
      <c r="T282">
        <v>75</v>
      </c>
    </row>
    <row r="283" spans="1:26" x14ac:dyDescent="0.45">
      <c r="A283" t="s">
        <v>349</v>
      </c>
      <c r="B283" t="s">
        <v>76</v>
      </c>
      <c r="C283" t="s">
        <v>71</v>
      </c>
      <c r="D283" t="s">
        <v>38</v>
      </c>
      <c r="E283">
        <v>2033</v>
      </c>
      <c r="F283">
        <v>2110</v>
      </c>
      <c r="G283">
        <v>18</v>
      </c>
      <c r="H283">
        <v>3</v>
      </c>
      <c r="N283">
        <v>0.22</v>
      </c>
      <c r="R283">
        <v>2.8</v>
      </c>
      <c r="T283">
        <v>18</v>
      </c>
    </row>
    <row r="284" spans="1:26" x14ac:dyDescent="0.45">
      <c r="A284" t="s">
        <v>350</v>
      </c>
      <c r="B284" t="s">
        <v>57</v>
      </c>
      <c r="C284" t="s">
        <v>71</v>
      </c>
      <c r="D284" t="s">
        <v>38</v>
      </c>
      <c r="E284">
        <v>2034</v>
      </c>
      <c r="F284">
        <v>2110</v>
      </c>
      <c r="G284">
        <v>37</v>
      </c>
      <c r="H284">
        <v>3</v>
      </c>
      <c r="N284">
        <v>0.22</v>
      </c>
      <c r="R284">
        <v>2.8</v>
      </c>
      <c r="T284">
        <v>18</v>
      </c>
    </row>
    <row r="285" spans="1:26" x14ac:dyDescent="0.45">
      <c r="A285" t="s">
        <v>351</v>
      </c>
      <c r="B285" t="s">
        <v>106</v>
      </c>
      <c r="C285" t="s">
        <v>37</v>
      </c>
      <c r="D285" t="s">
        <v>38</v>
      </c>
      <c r="E285">
        <v>2035</v>
      </c>
      <c r="F285">
        <v>2110</v>
      </c>
      <c r="G285">
        <v>150</v>
      </c>
      <c r="H285">
        <v>3</v>
      </c>
      <c r="N285">
        <v>0.38</v>
      </c>
      <c r="T285">
        <v>150</v>
      </c>
    </row>
    <row r="286" spans="1:26" x14ac:dyDescent="0.45">
      <c r="A286" t="s">
        <v>352</v>
      </c>
      <c r="B286" t="s">
        <v>106</v>
      </c>
      <c r="C286" t="s">
        <v>53</v>
      </c>
      <c r="D286" t="s">
        <v>44</v>
      </c>
      <c r="E286">
        <v>2030</v>
      </c>
      <c r="F286">
        <v>2060</v>
      </c>
      <c r="G286">
        <v>250</v>
      </c>
      <c r="H286">
        <v>3</v>
      </c>
      <c r="J286">
        <v>10.23</v>
      </c>
      <c r="K286">
        <v>0.3</v>
      </c>
      <c r="L286">
        <v>0.3</v>
      </c>
      <c r="R286">
        <v>1.0168157419999999</v>
      </c>
      <c r="T286">
        <v>250</v>
      </c>
    </row>
    <row r="287" spans="1:26" x14ac:dyDescent="0.45">
      <c r="A287" t="s">
        <v>353</v>
      </c>
      <c r="B287" t="s">
        <v>76</v>
      </c>
      <c r="C287" t="s">
        <v>96</v>
      </c>
      <c r="D287" t="s">
        <v>97</v>
      </c>
      <c r="E287">
        <v>2028</v>
      </c>
      <c r="F287">
        <v>2058</v>
      </c>
      <c r="G287">
        <v>120</v>
      </c>
      <c r="H287">
        <v>3</v>
      </c>
      <c r="R287">
        <v>1.3</v>
      </c>
      <c r="T287">
        <v>120</v>
      </c>
    </row>
    <row r="288" spans="1:26" x14ac:dyDescent="0.45">
      <c r="A288" t="s">
        <v>354</v>
      </c>
      <c r="B288" t="s">
        <v>76</v>
      </c>
      <c r="C288" t="s">
        <v>285</v>
      </c>
      <c r="D288" t="s">
        <v>97</v>
      </c>
      <c r="E288">
        <v>2032</v>
      </c>
      <c r="F288">
        <v>2062</v>
      </c>
      <c r="G288">
        <v>8000</v>
      </c>
      <c r="H288">
        <v>3</v>
      </c>
      <c r="J288">
        <v>0</v>
      </c>
      <c r="K288">
        <v>1</v>
      </c>
      <c r="L288">
        <v>1</v>
      </c>
      <c r="M288">
        <v>0</v>
      </c>
      <c r="N288">
        <v>0</v>
      </c>
      <c r="Q288">
        <v>0</v>
      </c>
      <c r="R288">
        <v>3.2</v>
      </c>
      <c r="T288">
        <v>200</v>
      </c>
      <c r="U288">
        <v>0</v>
      </c>
      <c r="W288">
        <v>0</v>
      </c>
      <c r="X288">
        <v>0</v>
      </c>
      <c r="Y288">
        <v>1</v>
      </c>
      <c r="Z288">
        <v>0</v>
      </c>
    </row>
    <row r="289" spans="1:26" x14ac:dyDescent="0.45">
      <c r="A289" t="s">
        <v>355</v>
      </c>
      <c r="B289" t="s">
        <v>76</v>
      </c>
      <c r="C289" t="s">
        <v>96</v>
      </c>
      <c r="D289" t="s">
        <v>97</v>
      </c>
      <c r="E289">
        <v>2030</v>
      </c>
      <c r="F289">
        <v>2060</v>
      </c>
      <c r="G289">
        <v>4000</v>
      </c>
      <c r="H289">
        <v>3</v>
      </c>
      <c r="R289">
        <v>1.3</v>
      </c>
      <c r="T289">
        <v>150</v>
      </c>
    </row>
    <row r="290" spans="1:26" x14ac:dyDescent="0.45">
      <c r="A290" t="s">
        <v>355</v>
      </c>
      <c r="B290" t="s">
        <v>57</v>
      </c>
      <c r="C290" t="s">
        <v>96</v>
      </c>
      <c r="D290" t="s">
        <v>97</v>
      </c>
      <c r="E290">
        <v>2030</v>
      </c>
      <c r="F290">
        <v>2060</v>
      </c>
      <c r="G290">
        <v>4000</v>
      </c>
      <c r="H290">
        <v>3</v>
      </c>
      <c r="R290">
        <v>1.3</v>
      </c>
      <c r="T290">
        <v>100</v>
      </c>
    </row>
    <row r="291" spans="1:26" x14ac:dyDescent="0.45">
      <c r="A291" t="s">
        <v>356</v>
      </c>
      <c r="B291" t="s">
        <v>57</v>
      </c>
      <c r="C291" t="s">
        <v>66</v>
      </c>
      <c r="D291" t="s">
        <v>67</v>
      </c>
      <c r="E291">
        <v>2026</v>
      </c>
      <c r="F291">
        <v>2056</v>
      </c>
      <c r="G291">
        <v>200</v>
      </c>
      <c r="H291">
        <v>3</v>
      </c>
      <c r="J291">
        <v>0</v>
      </c>
      <c r="K291">
        <v>1</v>
      </c>
      <c r="L291">
        <v>1</v>
      </c>
      <c r="R291">
        <v>0.8</v>
      </c>
      <c r="T291">
        <v>200</v>
      </c>
    </row>
    <row r="292" spans="1:26" x14ac:dyDescent="0.45">
      <c r="A292" t="s">
        <v>357</v>
      </c>
      <c r="B292" t="s">
        <v>57</v>
      </c>
      <c r="C292" t="s">
        <v>66</v>
      </c>
      <c r="D292" t="s">
        <v>67</v>
      </c>
      <c r="E292">
        <v>2030</v>
      </c>
      <c r="F292">
        <v>2060</v>
      </c>
      <c r="G292">
        <v>8000</v>
      </c>
      <c r="H292">
        <v>3</v>
      </c>
      <c r="J292">
        <v>0</v>
      </c>
      <c r="K292">
        <v>1</v>
      </c>
      <c r="L292">
        <v>1</v>
      </c>
      <c r="R292">
        <v>0.8</v>
      </c>
      <c r="T292">
        <v>100</v>
      </c>
    </row>
    <row r="293" spans="1:26" x14ac:dyDescent="0.45">
      <c r="A293" t="s">
        <v>358</v>
      </c>
      <c r="B293" t="s">
        <v>106</v>
      </c>
      <c r="C293" t="s">
        <v>66</v>
      </c>
      <c r="D293" t="s">
        <v>67</v>
      </c>
      <c r="E293">
        <v>2030</v>
      </c>
      <c r="F293">
        <v>2060</v>
      </c>
      <c r="G293">
        <v>3000</v>
      </c>
      <c r="H293">
        <v>3</v>
      </c>
      <c r="J293">
        <v>0</v>
      </c>
      <c r="K293">
        <v>1</v>
      </c>
      <c r="L293">
        <v>1</v>
      </c>
      <c r="R293">
        <v>0.8</v>
      </c>
      <c r="T293">
        <v>100</v>
      </c>
    </row>
    <row r="294" spans="1:26" x14ac:dyDescent="0.45">
      <c r="A294" t="s">
        <v>359</v>
      </c>
      <c r="B294" t="s">
        <v>106</v>
      </c>
      <c r="C294" t="s">
        <v>37</v>
      </c>
      <c r="D294" t="s">
        <v>38</v>
      </c>
      <c r="E294">
        <v>2035</v>
      </c>
      <c r="F294">
        <v>2110</v>
      </c>
      <c r="G294">
        <v>85</v>
      </c>
      <c r="H294">
        <v>3</v>
      </c>
      <c r="N294">
        <v>0.38</v>
      </c>
      <c r="T294">
        <v>85</v>
      </c>
    </row>
    <row r="295" spans="1:26" x14ac:dyDescent="0.45">
      <c r="A295" t="s">
        <v>360</v>
      </c>
      <c r="B295" t="s">
        <v>26</v>
      </c>
      <c r="C295" t="s">
        <v>66</v>
      </c>
      <c r="D295" t="s">
        <v>67</v>
      </c>
      <c r="E295">
        <v>2031</v>
      </c>
      <c r="F295">
        <v>2056</v>
      </c>
      <c r="G295">
        <v>18400</v>
      </c>
      <c r="H295">
        <v>3</v>
      </c>
      <c r="R295">
        <v>0.8</v>
      </c>
      <c r="T295">
        <v>1500</v>
      </c>
      <c r="Y295">
        <v>1</v>
      </c>
    </row>
    <row r="296" spans="1:26" x14ac:dyDescent="0.45">
      <c r="A296" t="s">
        <v>361</v>
      </c>
      <c r="B296" t="s">
        <v>26</v>
      </c>
      <c r="C296" t="s">
        <v>96</v>
      </c>
      <c r="D296" t="s">
        <v>97</v>
      </c>
      <c r="E296">
        <v>2031</v>
      </c>
      <c r="F296">
        <v>2060</v>
      </c>
      <c r="G296">
        <v>35700</v>
      </c>
      <c r="H296">
        <v>3</v>
      </c>
      <c r="K296">
        <v>1</v>
      </c>
      <c r="L296">
        <v>1</v>
      </c>
      <c r="M296">
        <v>0</v>
      </c>
      <c r="N296">
        <v>0</v>
      </c>
      <c r="Q296">
        <v>0</v>
      </c>
      <c r="R296">
        <v>1.3</v>
      </c>
      <c r="T296">
        <v>3000</v>
      </c>
      <c r="U296">
        <v>0</v>
      </c>
      <c r="W296">
        <v>0</v>
      </c>
      <c r="X296">
        <v>0</v>
      </c>
      <c r="Y296">
        <v>1</v>
      </c>
      <c r="Z296">
        <v>0</v>
      </c>
    </row>
    <row r="297" spans="1:26" x14ac:dyDescent="0.45">
      <c r="A297" t="s">
        <v>362</v>
      </c>
      <c r="B297" t="s">
        <v>26</v>
      </c>
      <c r="C297" t="s">
        <v>43</v>
      </c>
      <c r="D297" t="s">
        <v>44</v>
      </c>
      <c r="E297">
        <v>2032</v>
      </c>
      <c r="F297">
        <v>2062</v>
      </c>
      <c r="G297">
        <v>15250</v>
      </c>
      <c r="H297">
        <v>3</v>
      </c>
      <c r="I297">
        <v>0.2</v>
      </c>
      <c r="J297">
        <v>9.75</v>
      </c>
      <c r="K297">
        <v>0.1</v>
      </c>
      <c r="L297">
        <v>0.1</v>
      </c>
      <c r="N297">
        <v>0.2</v>
      </c>
      <c r="Q297">
        <v>0</v>
      </c>
      <c r="R297">
        <v>1.2450805009999999</v>
      </c>
      <c r="T297">
        <v>1250</v>
      </c>
      <c r="U297">
        <v>0</v>
      </c>
      <c r="X297">
        <v>0.05</v>
      </c>
      <c r="Y297">
        <v>0</v>
      </c>
    </row>
    <row r="298" spans="1:26" x14ac:dyDescent="0.45">
      <c r="A298" t="s">
        <v>363</v>
      </c>
      <c r="B298" t="s">
        <v>58</v>
      </c>
      <c r="C298" t="s">
        <v>96</v>
      </c>
      <c r="D298" t="s">
        <v>97</v>
      </c>
      <c r="E298">
        <v>2026</v>
      </c>
      <c r="F298">
        <v>2060</v>
      </c>
      <c r="G298">
        <v>75</v>
      </c>
      <c r="H298">
        <v>3</v>
      </c>
      <c r="K298">
        <v>1</v>
      </c>
      <c r="L298">
        <v>1</v>
      </c>
      <c r="R298">
        <v>1.3</v>
      </c>
      <c r="T298">
        <v>75</v>
      </c>
      <c r="Y298">
        <v>1</v>
      </c>
    </row>
    <row r="299" spans="1:26" x14ac:dyDescent="0.45">
      <c r="A299" t="s">
        <v>364</v>
      </c>
      <c r="B299" t="s">
        <v>58</v>
      </c>
      <c r="C299" t="s">
        <v>43</v>
      </c>
      <c r="D299" t="s">
        <v>44</v>
      </c>
      <c r="E299">
        <v>2030</v>
      </c>
      <c r="F299">
        <v>2060</v>
      </c>
      <c r="G299">
        <v>2500</v>
      </c>
      <c r="H299">
        <v>3</v>
      </c>
      <c r="I299">
        <v>0.2</v>
      </c>
      <c r="J299">
        <v>9.75</v>
      </c>
      <c r="K299">
        <v>0.1</v>
      </c>
      <c r="L299">
        <v>0.1</v>
      </c>
      <c r="N299">
        <v>0.2</v>
      </c>
      <c r="Q299">
        <v>0</v>
      </c>
      <c r="R299">
        <v>1.3</v>
      </c>
      <c r="T299">
        <v>200</v>
      </c>
      <c r="X299">
        <v>0.05</v>
      </c>
      <c r="Y299">
        <v>0</v>
      </c>
    </row>
    <row r="300" spans="1:26" x14ac:dyDescent="0.45">
      <c r="A300" t="s">
        <v>365</v>
      </c>
      <c r="B300" t="s">
        <v>57</v>
      </c>
      <c r="C300" t="s">
        <v>37</v>
      </c>
      <c r="D300" t="s">
        <v>38</v>
      </c>
      <c r="E300">
        <v>2035</v>
      </c>
      <c r="F300">
        <v>2110</v>
      </c>
      <c r="G300">
        <v>50</v>
      </c>
      <c r="H300">
        <v>3</v>
      </c>
      <c r="N300">
        <v>0.38</v>
      </c>
      <c r="T300">
        <v>50</v>
      </c>
    </row>
    <row r="301" spans="1:26" x14ac:dyDescent="0.45">
      <c r="A301" t="s">
        <v>366</v>
      </c>
      <c r="B301" t="s">
        <v>58</v>
      </c>
      <c r="C301" t="s">
        <v>71</v>
      </c>
      <c r="D301" t="s">
        <v>38</v>
      </c>
      <c r="E301">
        <v>2035</v>
      </c>
      <c r="F301">
        <v>2110</v>
      </c>
      <c r="G301">
        <v>47</v>
      </c>
      <c r="H301">
        <v>3</v>
      </c>
      <c r="N301">
        <v>0.17</v>
      </c>
      <c r="Q301">
        <v>0</v>
      </c>
      <c r="R301">
        <v>2.8</v>
      </c>
      <c r="T301">
        <v>47</v>
      </c>
    </row>
    <row r="302" spans="1:26" x14ac:dyDescent="0.45">
      <c r="A302" t="s">
        <v>367</v>
      </c>
      <c r="B302" t="s">
        <v>93</v>
      </c>
      <c r="C302" t="s">
        <v>71</v>
      </c>
      <c r="D302" t="s">
        <v>38</v>
      </c>
      <c r="E302">
        <v>2032</v>
      </c>
      <c r="F302">
        <v>2112</v>
      </c>
      <c r="G302">
        <v>121</v>
      </c>
      <c r="H302">
        <v>3</v>
      </c>
      <c r="N302">
        <v>0.27807048400000001</v>
      </c>
      <c r="R302">
        <v>3.12</v>
      </c>
      <c r="S302">
        <v>50</v>
      </c>
      <c r="T302">
        <v>121</v>
      </c>
      <c r="U302">
        <v>0</v>
      </c>
      <c r="W302">
        <v>0</v>
      </c>
      <c r="X302">
        <v>0</v>
      </c>
      <c r="Y302">
        <v>0</v>
      </c>
      <c r="Z302">
        <v>0</v>
      </c>
    </row>
    <row r="303" spans="1:26" x14ac:dyDescent="0.45">
      <c r="A303" t="s">
        <v>368</v>
      </c>
      <c r="B303" t="s">
        <v>33</v>
      </c>
      <c r="C303" t="s">
        <v>96</v>
      </c>
      <c r="D303" t="s">
        <v>97</v>
      </c>
      <c r="E303">
        <v>2030</v>
      </c>
      <c r="F303">
        <v>2060</v>
      </c>
      <c r="G303">
        <v>350</v>
      </c>
      <c r="H303">
        <v>3</v>
      </c>
      <c r="K303">
        <v>1</v>
      </c>
      <c r="L303">
        <v>1</v>
      </c>
      <c r="R303">
        <v>1.3</v>
      </c>
      <c r="T303">
        <v>20</v>
      </c>
      <c r="Y303">
        <v>1</v>
      </c>
    </row>
    <row r="304" spans="1:26" x14ac:dyDescent="0.45">
      <c r="A304" t="s">
        <v>369</v>
      </c>
      <c r="B304" t="s">
        <v>36</v>
      </c>
      <c r="C304" t="s">
        <v>37</v>
      </c>
      <c r="D304" t="s">
        <v>38</v>
      </c>
      <c r="E304">
        <v>2045</v>
      </c>
      <c r="F304">
        <v>2115</v>
      </c>
      <c r="G304">
        <v>570</v>
      </c>
      <c r="H304">
        <v>3</v>
      </c>
      <c r="N304">
        <v>0.27807048400000001</v>
      </c>
      <c r="R304">
        <v>3.12</v>
      </c>
      <c r="S304">
        <v>50</v>
      </c>
      <c r="T304">
        <v>570</v>
      </c>
      <c r="U304">
        <v>0</v>
      </c>
      <c r="W304">
        <v>0</v>
      </c>
      <c r="X304">
        <v>0</v>
      </c>
      <c r="Y304">
        <v>0</v>
      </c>
      <c r="Z304">
        <v>0</v>
      </c>
    </row>
  </sheetData>
  <autoFilter ref="A1:Z304" xr:uid="{2626D41B-BF1A-4D83-A13B-258228092DBE}"/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pGenDataInput_SAPP_v3_reduced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Seyram Apeti Gildas Siggini</cp:lastModifiedBy>
  <dcterms:created xsi:type="dcterms:W3CDTF">2026-05-12T11:41:41Z</dcterms:created>
  <dcterms:modified xsi:type="dcterms:W3CDTF">2026-05-12T14:02:59Z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2026-05-12T14:02:59Z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33340e0c-42a1-4299-bff3-ea38d18b2874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