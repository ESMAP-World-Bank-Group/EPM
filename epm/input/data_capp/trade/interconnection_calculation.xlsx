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202300"/>
  <mc:AlternateContent xmlns:mc="http://schemas.openxmlformats.org/markup-compatibility/2006">
    <mc:Choice Requires="x15">
      <x15ac:absPath xmlns:x15ac="http://schemas.microsoft.com/office/spreadsheetml/2010/11/ac" url="/Users/lucas/Documents/World Bank/Projects/EPM_APPLIED/EPM_CAPP/epm/input/data_capp/trade/"/>
    </mc:Choice>
  </mc:AlternateContent>
  <xr:revisionPtr revIDLastSave="0" documentId="13_ncr:1_{B86FF0E6-AD7B-B544-8B07-39B1D3A71E73}" xr6:coauthVersionLast="47" xr6:coauthVersionMax="47" xr10:uidLastSave="{00000000-0000-0000-0000-000000000000}"/>
  <bookViews>
    <workbookView xWindow="4460" yWindow="-20800" windowWidth="25800" windowHeight="17440" xr2:uid="{07CF8303-320E-D54A-BEEB-47604AE4AA3A}"/>
  </bookViews>
  <sheets>
    <sheet name="Line Calculation"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 i="2" l="1"/>
  <c r="D19" i="2"/>
  <c r="D17" i="2"/>
  <c r="D25" i="2" s="1"/>
  <c r="D15" i="2"/>
  <c r="D24" i="2" s="1"/>
  <c r="D10" i="2"/>
  <c r="D11" i="2"/>
  <c r="D18" i="2"/>
  <c r="D26" i="2" l="1"/>
  <c r="D12" i="2"/>
  <c r="D13" i="2" s="1"/>
  <c r="D31" i="2" l="1"/>
  <c r="D20" i="2"/>
  <c r="D27" i="2" s="1"/>
  <c r="D28" i="2" s="1"/>
  <c r="D30" i="2" s="1"/>
</calcChain>
</file>

<file path=xl/sharedStrings.xml><?xml version="1.0" encoding="utf-8"?>
<sst xmlns="http://schemas.openxmlformats.org/spreadsheetml/2006/main" count="44" uniqueCount="32">
  <si>
    <t>km</t>
  </si>
  <si>
    <t>M$/km</t>
  </si>
  <si>
    <t>#</t>
  </si>
  <si>
    <t>M$/poste</t>
  </si>
  <si>
    <t>M$/site</t>
  </si>
  <si>
    <t>M$/section</t>
  </si>
  <si>
    <t>M$</t>
  </si>
  <si>
    <t>MW</t>
  </si>
  <si>
    <t>kV</t>
  </si>
  <si>
    <t>Number of lines</t>
  </si>
  <si>
    <t>Voltage</t>
  </si>
  <si>
    <t>Line length</t>
  </si>
  <si>
    <t>SIL (Surge Impedance Loading) = zero reactive power capacity</t>
  </si>
  <si>
    <t>K(L) (stability derating factor) = length-related stability factor</t>
  </si>
  <si>
    <t>Pstab (stability-limited transfer capacity)</t>
  </si>
  <si>
    <t>Pavail (available transfer capacity) = actual available capacity</t>
  </si>
  <si>
    <t>Overhead line cost</t>
  </si>
  <si>
    <t>Number of substations</t>
  </si>
  <si>
    <t>Substation cost (average of one bay + substation extension)</t>
  </si>
  <si>
    <t>Number of sections</t>
  </si>
  <si>
    <t>Section cost</t>
  </si>
  <si>
    <t>Compensation cost (SVC, STATCOM, or series compensation)</t>
  </si>
  <si>
    <t>Substation cost (average of one bay + extension)</t>
  </si>
  <si>
    <t>Total line cost</t>
  </si>
  <si>
    <t>Total cost</t>
  </si>
  <si>
    <t>Available capacity</t>
  </si>
  <si>
    <t>Voltage (kV)</t>
  </si>
  <si>
    <t>Overhead line cost (M$/km)</t>
  </si>
  <si>
    <t>Substation cost (M$/poste)</t>
  </si>
  <si>
    <t>Number of compensation sites</t>
  </si>
  <si>
    <t xml:space="preserve">Compensation cost </t>
  </si>
  <si>
    <r>
      <t xml:space="preserve">This calculation sheet is used to make first-order approximations of transmission line characteristics and costs when detailed project data are not available. It is typically applied in cases where potential new interconnections are being considered, or when only public information exists.
Based solely on two key inputs — voltage level and line length — the tool estimates:
- the total investment cost (including lines, substations, and compensation equipment), and
- the available transfer capacity of the line.
</t>
    </r>
    <r>
      <rPr>
        <b/>
        <sz val="12"/>
        <color theme="1"/>
        <rFont val="Aptos Narrow"/>
        <scheme val="minor"/>
      </rPr>
      <t>These estimates provide input assumptions for the Electricity Planning Model (EPM), which requires indicative transmission capacity and cost parameters for its capacity expansion and least-cost investment analyses.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</si>
</sst>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2"/>
      <color theme="1"/>
      <name val="Aptos Narrow"/>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
      <patternFill patternType="solid">
        <fgColor theme="2" tint="-9.9978637043366805E-2"/>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3">
    <xf numFmtId="0" fontId="0" fillId="0" borderId="0" xfId="0"/>
    <xf numFmtId="0" fontId="18" fillId="0" borderId="0" xfId="0" applyFont="1"/>
    <xf numFmtId="0" fontId="0" fillId="0" borderId="0" xfId="0" applyAlignment="1">
      <alignment horizontal="center"/>
    </xf>
    <xf numFmtId="0" fontId="19" fillId="0" borderId="0" xfId="0" applyFont="1"/>
    <xf numFmtId="164" fontId="0" fillId="0" borderId="0" xfId="42" applyNumberFormat="1" applyFont="1" applyAlignment="1"/>
    <xf numFmtId="43" fontId="0" fillId="0" borderId="0" xfId="42" applyFont="1" applyAlignment="1"/>
    <xf numFmtId="0" fontId="0" fillId="0" borderId="0" xfId="0" applyBorder="1" applyAlignment="1">
      <alignment horizontal="center"/>
    </xf>
    <xf numFmtId="0" fontId="0" fillId="0" borderId="10" xfId="0" applyBorder="1"/>
    <xf numFmtId="0" fontId="0" fillId="0" borderId="10" xfId="0" applyBorder="1" applyAlignment="1">
      <alignment horizontal="center"/>
    </xf>
    <xf numFmtId="0" fontId="0" fillId="0" borderId="11" xfId="0" applyBorder="1"/>
    <xf numFmtId="0" fontId="0" fillId="0" borderId="12" xfId="0" applyBorder="1" applyAlignment="1">
      <alignment horizontal="center"/>
    </xf>
    <xf numFmtId="164" fontId="0" fillId="0" borderId="13" xfId="42" applyNumberFormat="1" applyFont="1" applyBorder="1" applyAlignment="1"/>
    <xf numFmtId="0" fontId="0" fillId="0" borderId="14" xfId="0" applyBorder="1"/>
    <xf numFmtId="0" fontId="0" fillId="0" borderId="15" xfId="0" applyBorder="1" applyAlignment="1">
      <alignment horizontal="center"/>
    </xf>
    <xf numFmtId="164" fontId="0" fillId="0" borderId="16" xfId="42" applyNumberFormat="1" applyFont="1" applyBorder="1" applyAlignment="1"/>
    <xf numFmtId="0" fontId="0" fillId="0" borderId="0" xfId="0" applyAlignment="1">
      <alignment wrapText="1"/>
    </xf>
    <xf numFmtId="43" fontId="0" fillId="33" borderId="0" xfId="42" applyFont="1" applyFill="1" applyAlignment="1"/>
    <xf numFmtId="164" fontId="0" fillId="33" borderId="0" xfId="42" applyNumberFormat="1" applyFont="1" applyFill="1" applyAlignment="1"/>
    <xf numFmtId="0" fontId="0" fillId="33" borderId="0" xfId="0" applyFill="1"/>
    <xf numFmtId="164" fontId="0" fillId="34" borderId="0" xfId="42" applyNumberFormat="1" applyFont="1" applyFill="1" applyAlignment="1"/>
    <xf numFmtId="43" fontId="0" fillId="34" borderId="0" xfId="42" applyFont="1" applyFill="1" applyAlignment="1"/>
    <xf numFmtId="164" fontId="0" fillId="34" borderId="0" xfId="42" applyNumberFormat="1" applyFont="1" applyFill="1" applyBorder="1" applyAlignment="1"/>
    <xf numFmtId="164" fontId="0" fillId="34" borderId="10" xfId="42" applyNumberFormat="1" applyFont="1" applyFill="1" applyBorder="1" applyAlignme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C9521-7637-A145-B57F-FA4AA8CD8A9A}">
  <dimension ref="B2:J31"/>
  <sheetViews>
    <sheetView tabSelected="1" topLeftCell="A2" workbookViewId="0">
      <selection activeCell="F22" sqref="F22"/>
    </sheetView>
  </sheetViews>
  <sheetFormatPr baseColWidth="10" defaultRowHeight="16" x14ac:dyDescent="0.2"/>
  <cols>
    <col min="2" max="2" width="58.33203125" bestFit="1" customWidth="1"/>
    <col min="4" max="4" width="10.83203125" style="5"/>
    <col min="7" max="7" width="17.33203125" bestFit="1" customWidth="1"/>
    <col min="8" max="8" width="20.1640625" bestFit="1" customWidth="1"/>
  </cols>
  <sheetData>
    <row r="2" spans="2:10" ht="267" customHeight="1" x14ac:dyDescent="0.2">
      <c r="B2" s="15" t="s">
        <v>31</v>
      </c>
    </row>
    <row r="4" spans="2:10" x14ac:dyDescent="0.2">
      <c r="B4" s="1"/>
    </row>
    <row r="5" spans="2:10" x14ac:dyDescent="0.2">
      <c r="B5" s="1"/>
    </row>
    <row r="6" spans="2:10" x14ac:dyDescent="0.2">
      <c r="B6" s="1" t="s">
        <v>9</v>
      </c>
      <c r="D6" s="16">
        <v>1</v>
      </c>
      <c r="F6" s="3" t="s">
        <v>26</v>
      </c>
      <c r="G6" s="3" t="s">
        <v>27</v>
      </c>
      <c r="H6" s="3" t="s">
        <v>28</v>
      </c>
      <c r="I6" t="s">
        <v>20</v>
      </c>
      <c r="J6" s="3" t="s">
        <v>30</v>
      </c>
    </row>
    <row r="7" spans="2:10" x14ac:dyDescent="0.2">
      <c r="B7" s="1" t="s">
        <v>10</v>
      </c>
      <c r="C7" s="2" t="s">
        <v>8</v>
      </c>
      <c r="D7" s="17">
        <v>220</v>
      </c>
      <c r="F7" s="3">
        <v>400</v>
      </c>
      <c r="G7" s="3">
        <v>0.5</v>
      </c>
      <c r="H7" s="3">
        <v>7.5</v>
      </c>
      <c r="I7" s="3">
        <v>5</v>
      </c>
      <c r="J7" s="3">
        <v>40</v>
      </c>
    </row>
    <row r="8" spans="2:10" x14ac:dyDescent="0.2">
      <c r="B8" s="1" t="s">
        <v>11</v>
      </c>
      <c r="C8" s="2" t="s">
        <v>0</v>
      </c>
      <c r="D8" s="18">
        <v>300</v>
      </c>
      <c r="F8" s="3">
        <v>220</v>
      </c>
      <c r="G8" s="3">
        <v>0.35</v>
      </c>
      <c r="H8" s="3">
        <v>4.5</v>
      </c>
      <c r="I8" s="3">
        <v>3.5</v>
      </c>
      <c r="J8" s="3">
        <v>40</v>
      </c>
    </row>
    <row r="9" spans="2:10" x14ac:dyDescent="0.2">
      <c r="C9" s="2"/>
      <c r="D9" s="4"/>
    </row>
    <row r="10" spans="2:10" x14ac:dyDescent="0.2">
      <c r="B10" s="3" t="s">
        <v>12</v>
      </c>
      <c r="C10" s="2" t="s">
        <v>7</v>
      </c>
      <c r="D10" s="19">
        <f>650*($D$7/400)^2</f>
        <v>196.62500000000003</v>
      </c>
    </row>
    <row r="11" spans="2:10" x14ac:dyDescent="0.2">
      <c r="B11" s="3" t="s">
        <v>13</v>
      </c>
      <c r="D11" s="20">
        <f>IF(D8&lt;=200,1.6,IF(D8&lt;=400,1.2,IF(D8&lt;=800,0.8,IF(D8&lt;=1200,0.6,0.5))))</f>
        <v>1.2</v>
      </c>
    </row>
    <row r="12" spans="2:10" x14ac:dyDescent="0.2">
      <c r="B12" s="3" t="s">
        <v>14</v>
      </c>
      <c r="C12" s="2" t="s">
        <v>7</v>
      </c>
      <c r="D12" s="19">
        <f>D11*D10</f>
        <v>235.95000000000002</v>
      </c>
    </row>
    <row r="13" spans="2:10" x14ac:dyDescent="0.2">
      <c r="B13" s="3" t="s">
        <v>15</v>
      </c>
      <c r="C13" s="2" t="s">
        <v>7</v>
      </c>
      <c r="D13" s="19">
        <f>MIN(600, D12)*$D$6</f>
        <v>235.95000000000002</v>
      </c>
    </row>
    <row r="14" spans="2:10" x14ac:dyDescent="0.2">
      <c r="B14" s="3"/>
      <c r="C14" s="2"/>
    </row>
    <row r="15" spans="2:10" x14ac:dyDescent="0.2">
      <c r="B15" t="s">
        <v>16</v>
      </c>
      <c r="C15" s="2" t="s">
        <v>1</v>
      </c>
      <c r="D15" s="20">
        <f>VLOOKUP($D$7,$F$6:$J$8,2,FALSE)</f>
        <v>0.35</v>
      </c>
    </row>
    <row r="16" spans="2:10" x14ac:dyDescent="0.2">
      <c r="B16" t="s">
        <v>17</v>
      </c>
      <c r="C16" s="2" t="s">
        <v>2</v>
      </c>
      <c r="D16" s="19">
        <v>2</v>
      </c>
    </row>
    <row r="17" spans="2:4" x14ac:dyDescent="0.2">
      <c r="B17" t="s">
        <v>18</v>
      </c>
      <c r="C17" s="2" t="s">
        <v>3</v>
      </c>
      <c r="D17" s="20">
        <f>VLOOKUP($D$7,$F$6:$J$8,3,FALSE)</f>
        <v>4.5</v>
      </c>
    </row>
    <row r="18" spans="2:4" x14ac:dyDescent="0.2">
      <c r="B18" t="s">
        <v>19</v>
      </c>
      <c r="C18" s="2"/>
      <c r="D18" s="19">
        <f>IF($D$8&gt;600,1, 0)</f>
        <v>0</v>
      </c>
    </row>
    <row r="19" spans="2:4" x14ac:dyDescent="0.2">
      <c r="B19" t="s">
        <v>20</v>
      </c>
      <c r="C19" s="2" t="s">
        <v>5</v>
      </c>
      <c r="D19" s="20">
        <f>VLOOKUP($D$7,$F$6:$J$8,4,FALSE)</f>
        <v>3.5</v>
      </c>
    </row>
    <row r="20" spans="2:4" x14ac:dyDescent="0.2">
      <c r="B20" t="s">
        <v>29</v>
      </c>
      <c r="C20" s="2"/>
      <c r="D20" s="19">
        <f>MAX(0, ROUND($D$13/500, 0))</f>
        <v>0</v>
      </c>
    </row>
    <row r="21" spans="2:4" x14ac:dyDescent="0.2">
      <c r="B21" t="s">
        <v>21</v>
      </c>
      <c r="C21" s="2" t="s">
        <v>4</v>
      </c>
      <c r="D21" s="20">
        <f>VLOOKUP($D$7,$F$6:$J$8,5,FALSE)</f>
        <v>40</v>
      </c>
    </row>
    <row r="22" spans="2:4" x14ac:dyDescent="0.2">
      <c r="C22" s="2"/>
      <c r="D22" s="20"/>
    </row>
    <row r="23" spans="2:4" x14ac:dyDescent="0.2">
      <c r="C23" s="2"/>
    </row>
    <row r="24" spans="2:4" x14ac:dyDescent="0.2">
      <c r="B24" t="s">
        <v>16</v>
      </c>
      <c r="C24" s="2" t="s">
        <v>6</v>
      </c>
      <c r="D24" s="19">
        <f>D8*D15</f>
        <v>105</v>
      </c>
    </row>
    <row r="25" spans="2:4" x14ac:dyDescent="0.2">
      <c r="B25" t="s">
        <v>22</v>
      </c>
      <c r="C25" s="2" t="s">
        <v>6</v>
      </c>
      <c r="D25" s="19">
        <f>D17*D16</f>
        <v>9</v>
      </c>
    </row>
    <row r="26" spans="2:4" x14ac:dyDescent="0.2">
      <c r="B26" t="s">
        <v>20</v>
      </c>
      <c r="C26" s="2" t="s">
        <v>6</v>
      </c>
      <c r="D26" s="19">
        <f>D19*D18</f>
        <v>0</v>
      </c>
    </row>
    <row r="27" spans="2:4" x14ac:dyDescent="0.2">
      <c r="B27" t="s">
        <v>21</v>
      </c>
      <c r="C27" s="6" t="s">
        <v>6</v>
      </c>
      <c r="D27" s="21">
        <f>D21*D20</f>
        <v>0</v>
      </c>
    </row>
    <row r="28" spans="2:4" ht="17" thickBot="1" x14ac:dyDescent="0.25">
      <c r="B28" s="7" t="s">
        <v>23</v>
      </c>
      <c r="C28" s="8" t="s">
        <v>6</v>
      </c>
      <c r="D28" s="22">
        <f>SUM(D24:D27)</f>
        <v>114</v>
      </c>
    </row>
    <row r="29" spans="2:4" ht="17" thickBot="1" x14ac:dyDescent="0.25">
      <c r="D29" s="4"/>
    </row>
    <row r="30" spans="2:4" x14ac:dyDescent="0.2">
      <c r="B30" s="9" t="s">
        <v>24</v>
      </c>
      <c r="C30" s="10" t="s">
        <v>6</v>
      </c>
      <c r="D30" s="11">
        <f>D28*D6</f>
        <v>114</v>
      </c>
    </row>
    <row r="31" spans="2:4" ht="17" thickBot="1" x14ac:dyDescent="0.25">
      <c r="B31" s="12" t="s">
        <v>25</v>
      </c>
      <c r="C31" s="13" t="s">
        <v>7</v>
      </c>
      <c r="D31" s="14">
        <f>$D$13</f>
        <v>235.95000000000002</v>
      </c>
    </row>
  </sheetData>
  <dataValidations count="1">
    <dataValidation type="list" allowBlank="1" showInputMessage="1" showErrorMessage="1" sqref="D7" xr:uid="{62544C00-90C6-9248-8D09-120983E70DF1}">
      <formula1>$F$7:$F$8</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Line Calculation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Lucas VIVIER</cp:lastModifiedBy>
  <dcterms:created xsi:type="dcterms:W3CDTF">2025-10-13T11:59:44Z</dcterms:created>
  <dcterms:modified xsi:type="dcterms:W3CDTF">2025-10-28T14:02:34Z</dcterms:modified>
</cp:coreProperties>
</file>